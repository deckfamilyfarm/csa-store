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 &amp; Agent Steps" sheetId="1" r:id="rId1"/>
    <sheet name="Product Pricing" sheetId="2" r:id="rId2"/>
    <sheet name="Profit Model" sheetId="3" r:id="rId3"/>
  </sheets>
  <definedNames>
    <definedName name="_xlnm._FilterDatabase" localSheetId="1">'Product Pricing'!A1:AA319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%"/>
    <numFmt numFmtId="61" formatCode="$#,##0.00;[Red]($#,##0.00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width="62.83203125" customWidth="1"/>
    <col min="2" max="2" width="80.83203125" customWidth="1"/>
    <col min="3" max="3" width="18.83203125" customWidth="1"/>
    <col min="4" max="4" width="52.83203125" customWidth="1"/>
    <col min="5" max="5" width="23.83203125" customWidth="1"/>
    <col min="6" max="6" width="22.83203125" customWidth="1"/>
    <col min="7" max="7" width="22.83203125" customWidth="1"/>
    <col min="8" max="8" width="76.83203125" customWidth="1"/>
  </cols>
  <sheetData>
    <row r="1">
      <c r="A1" t="str">
        <v>PRODUCE MARKUP PLAN — REVIEW BEFORE APPLYING</v>
      </c>
    </row>
    <row r="2">
      <c r="A2" t="str">
        <v>Generated UTC</v>
      </c>
      <c r="B2" t="str">
        <v>2026-10-20T01:59:42.550Z</v>
      </c>
    </row>
    <row r="3">
      <c r="A3" t="str">
        <v>Catalog</v>
      </c>
      <c r="B3" t="str">
        <v>Live local CSA Store database, read only</v>
      </c>
    </row>
    <row r="4">
      <c r="A4" t="str">
        <v>Sales period</v>
      </c>
      <c r="B4" t="str">
        <v>2026-01-01 through 2026-09-30; Local Line reporting cache: OPEN + PAID order lines, four shopping price lists</v>
      </c>
    </row>
    <row r="5">
      <c r="A5" t="str">
        <v>Scope</v>
      </c>
      <c r="B5" t="str">
        <v>Organic fruit, fruiting vegetables, cruciferous vegetables, mushrooms, herbs, leafy greens, roots; nondeleted; named vendors.</v>
      </c>
    </row>
    <row r="6">
      <c r="A6" t="str">
        <v>Exclusions and holds</v>
      </c>
      <c r="B6" t="str">
        <v>Deck Family Farm / Hyland / Creamy Cow: 0 excluded products; deposits/Membership: 0 excluded; missing vendor: 18 held.</v>
      </c>
    </row>
    <row r="7">
      <c r="A7" t="str">
        <v>Cost warning</v>
      </c>
      <c r="B7" t="str">
        <v>“Vendor cost proxy” is the local package base price, not a verified supplier invoice or landed cost. Enter actual cost and review before approval.</v>
      </c>
    </row>
    <row r="8">
      <c r="A8" t="str">
        <v>Profit warning</v>
      </c>
      <c r="B8" t="str">
        <v>Profit Model estimates CHANGE in net profit if other expenses are fixed. It cannot establish absolute net income without an accounting baseline, true landed costs, loss rates, and demand response.</v>
      </c>
    </row>
    <row r="9">
      <c r="A9" t="str">
        <v>Shelf-life warning</v>
      </c>
      <c r="B9" t="str">
        <v>Tiers are planning assumptions. Actual life depends on maturity, delivery age, temperature, packaging, and your sell-through.</v>
      </c>
    </row>
    <row r="11">
      <c r="A11" t="str">
        <v>CATEGORY / TIER</v>
      </c>
      <c r="B11" t="str">
        <v>Markup</v>
      </c>
      <c r="C11" t="str">
        <v>Package rows</v>
      </c>
      <c r="D11" t="str">
        <v>Sample SKU</v>
      </c>
      <c r="E11" t="str">
        <v>Vendor cost proxy</v>
      </c>
      <c r="F11" t="str">
        <v>Current regular</v>
      </c>
      <c r="G11" t="str">
        <v>Proposed regular</v>
      </c>
      <c r="H11" t="str">
        <v>Rule</v>
      </c>
    </row>
    <row r="12">
      <c r="A12" t="str">
        <v>Organic Cruciferous Vegetables🥦 — 1 week to under 1 month</v>
      </c>
      <c r="B12" s="1">
        <v>0.6</v>
      </c>
      <c r="C12">
        <v>11</v>
      </c>
      <c r="D12" t="str">
        <v>Cauliflower / ea</v>
      </c>
      <c r="E12" s="2">
        <v>6</v>
      </c>
      <c r="F12" s="2">
        <v>8.7</v>
      </c>
      <c r="G12" s="2">
        <v>9.6</v>
      </c>
      <c r="H12" t="str">
        <v>Broccoli, cauliflower, or Brussels sprouts</v>
      </c>
    </row>
    <row r="13">
      <c r="A13" t="str">
        <v>Organic Cruciferous Vegetables🥦 — Under 1 week / high loss</v>
      </c>
      <c r="B13" s="1">
        <v>1</v>
      </c>
      <c r="C13">
        <v>2</v>
      </c>
      <c r="D13" t="str">
        <v>Broccoli Rapini / bu</v>
      </c>
      <c r="E13" s="2">
        <v>2.5</v>
      </c>
      <c r="F13" s="2">
        <v>3.63</v>
      </c>
      <c r="G13" s="2">
        <v>5</v>
      </c>
      <c r="H13" t="str">
        <v>Tender brassica greens</v>
      </c>
    </row>
    <row r="14">
      <c r="A14" t="str">
        <v>Organic Fruit 🍒🍎🫐 — 1 month+ / preserved</v>
      </c>
      <c r="B14" s="1">
        <v>0.45</v>
      </c>
      <c r="C14">
        <v>9</v>
      </c>
      <c r="D14" t="str">
        <v>Frozen Blueberries / ~1.0 lbs</v>
      </c>
      <c r="E14" s="2">
        <v>4.5</v>
      </c>
      <c r="F14" s="2">
        <v>6.52</v>
      </c>
      <c r="G14" s="2">
        <v>6.52</v>
      </c>
      <c r="H14" t="str">
        <v>Frozen, dried, or cured</v>
      </c>
    </row>
    <row r="15">
      <c r="A15" t="str">
        <v>Organic Fruit 🍒🍎🫐 — 1 week to under 1 month</v>
      </c>
      <c r="B15" s="1">
        <v>0.6</v>
      </c>
      <c r="C15">
        <v>7</v>
      </c>
      <c r="D15" t="str">
        <v>Mixed Apple "Seconds" / each</v>
      </c>
      <c r="E15" s="2">
        <v>0.5</v>
      </c>
      <c r="F15" s="2">
        <v>0.72</v>
      </c>
      <c r="G15" s="2">
        <v>0.8</v>
      </c>
      <c r="H15" t="str">
        <v>Blemished apples; shorter marketable life than sound storage fruit</v>
      </c>
    </row>
    <row r="16">
      <c r="A16" t="str">
        <v>Organic Fruit 🍒🍎🫐 — Under 1 week / high loss</v>
      </c>
      <c r="B16" s="1">
        <v>1</v>
      </c>
      <c r="C16">
        <v>30</v>
      </c>
      <c r="D16" t="str">
        <v>Mix Apples / ea</v>
      </c>
      <c r="E16" s="2">
        <v>1</v>
      </c>
      <c r="F16" s="2">
        <v>1.45</v>
      </c>
      <c r="G16" s="2">
        <v>2</v>
      </c>
      <c r="H16" t="str">
        <v>Fresh fruit; review ripeness and cold chain</v>
      </c>
    </row>
    <row r="17">
      <c r="A17" t="str">
        <v>Organic Fruiting Vegetables 🌶🥒🎃🍅 — 1 month+ / preserved</v>
      </c>
      <c r="B17" s="1">
        <v>0.45</v>
      </c>
      <c r="C17">
        <v>16</v>
      </c>
      <c r="D17" t="str">
        <v>Frozen Heirloom Tomatoes / Frozen Tomatoes</v>
      </c>
      <c r="E17" s="2">
        <v>1.5</v>
      </c>
      <c r="F17" s="2">
        <v>2.17</v>
      </c>
      <c r="G17" s="2">
        <v>2.17</v>
      </c>
      <c r="H17" t="str">
        <v>Frozen, dried, or cured</v>
      </c>
    </row>
    <row r="18">
      <c r="A18" t="str">
        <v>Organic Fruiting Vegetables 🌶🥒🎃🍅 — 1 week to under 1 month</v>
      </c>
      <c r="B18" s="1">
        <v>0.6</v>
      </c>
      <c r="C18">
        <v>31</v>
      </c>
      <c r="D18" t="str">
        <v>Green Bell Pepper / 1 lb</v>
      </c>
      <c r="E18" s="2">
        <v>2.5</v>
      </c>
      <c r="F18" s="2">
        <v>3.63</v>
      </c>
      <c r="G18" s="2">
        <v>4</v>
      </c>
      <c r="H18" t="str">
        <v>Fresh peppers generally store for weeks</v>
      </c>
    </row>
    <row r="19">
      <c r="A19" t="str">
        <v>Organic Fruiting Vegetables 🌶🥒🎃🍅 — Under 1 week / high loss</v>
      </c>
      <c r="B19" s="1">
        <v>1</v>
      </c>
      <c r="C19">
        <v>26</v>
      </c>
      <c r="D19" t="str">
        <v>Heirloom Tomatoes / pound</v>
      </c>
      <c r="E19" s="2">
        <v>3.2</v>
      </c>
      <c r="F19" s="2">
        <v>4.64</v>
      </c>
      <c r="G19" s="2">
        <v>6.4</v>
      </c>
      <c r="H19" t="str">
        <v>Tender or ripe fruiting vegetable</v>
      </c>
    </row>
    <row r="20">
      <c r="A20" t="str">
        <v>Organic Mushrooms 🍄‍🟫 — Under 1 week / high loss</v>
      </c>
      <c r="B20" s="1">
        <v>1</v>
      </c>
      <c r="C20">
        <v>7</v>
      </c>
      <c r="D20" t="str">
        <v>Crimini Mushrooms / 1 lb</v>
      </c>
      <c r="E20" s="2">
        <v>3.95</v>
      </c>
      <c r="F20" s="2">
        <v>5.73</v>
      </c>
      <c r="G20" s="2">
        <v>7.9</v>
      </c>
      <c r="H20" t="str">
        <v>Fresh mushrooms</v>
      </c>
    </row>
    <row r="21">
      <c r="A21" t="str">
        <v>Organic Vegetables - Herbs 🌿 — 1 month+ / preserved</v>
      </c>
      <c r="B21" s="1">
        <v>0.45</v>
      </c>
      <c r="C21">
        <v>1</v>
      </c>
      <c r="D21" t="str">
        <v>Dried English Lavender / ea</v>
      </c>
      <c r="E21" s="2">
        <v>3.4</v>
      </c>
      <c r="F21" s="2">
        <v>4.93</v>
      </c>
      <c r="G21" s="2">
        <v>4.93</v>
      </c>
      <c r="H21" t="str">
        <v>Frozen, dried, or cured</v>
      </c>
    </row>
    <row r="22">
      <c r="A22" t="str">
        <v>Organic Vegetables - Herbs 🌿 — Under 1 week / high loss</v>
      </c>
      <c r="B22" s="1">
        <v>1</v>
      </c>
      <c r="C22">
        <v>5</v>
      </c>
      <c r="D22" t="str">
        <v>Fresh Cilantro / bunch</v>
      </c>
      <c r="E22" s="2">
        <v>3</v>
      </c>
      <c r="F22" s="2">
        <v>4.35</v>
      </c>
      <c r="G22" s="2">
        <v>6</v>
      </c>
      <c r="H22" t="str">
        <v>Fresh herbs and flowers wilt quickly</v>
      </c>
    </row>
    <row r="23">
      <c r="A23" t="str">
        <v>Organic Vegetables - Herbs🌿 — Under 1 week / high loss</v>
      </c>
      <c r="B23" s="1">
        <v>1</v>
      </c>
      <c r="C23">
        <v>20</v>
      </c>
      <c r="D23" t="str">
        <v>Fresh Chives / each</v>
      </c>
      <c r="E23" s="2">
        <v>2</v>
      </c>
      <c r="F23" s="2">
        <v>2.9</v>
      </c>
      <c r="G23" s="2">
        <v>4</v>
      </c>
      <c r="H23" t="str">
        <v>Fresh herbs and flowers wilt quickly</v>
      </c>
    </row>
    <row r="24">
      <c r="A24" t="str">
        <v>Organic Vegetables - Leafy Greens 🥬 — 1 month+ / preserved</v>
      </c>
      <c r="B24" s="1">
        <v>0.45</v>
      </c>
      <c r="C24">
        <v>4</v>
      </c>
      <c r="D24" t="str">
        <v>Green Cabbage / each</v>
      </c>
      <c r="E24" s="2">
        <v>4</v>
      </c>
      <c r="F24" s="2">
        <v>5.8</v>
      </c>
      <c r="G24" s="2">
        <v>5.8</v>
      </c>
      <c r="H24" t="str">
        <v>Mature storage cabbage</v>
      </c>
    </row>
    <row r="25">
      <c r="A25" t="str">
        <v>Organic Vegetables - Leafy Greens 🥬 — 1 week to under 1 month</v>
      </c>
      <c r="B25" s="1">
        <v>0.6</v>
      </c>
      <c r="C25">
        <v>6</v>
      </c>
      <c r="D25" t="str">
        <v>Red Radicchio / each</v>
      </c>
      <c r="E25" s="2">
        <v>2.35</v>
      </c>
      <c r="F25" s="2">
        <v>3.41</v>
      </c>
      <c r="G25" s="2">
        <v>3.76</v>
      </c>
      <c r="H25" t="str">
        <v>Firm chicory or radicchio; verify storage practice</v>
      </c>
    </row>
    <row r="26">
      <c r="A26" t="str">
        <v>Organic Vegetables - Leafy Greens 🥬 — Under 1 week / high loss</v>
      </c>
      <c r="B26" s="1">
        <v>1</v>
      </c>
      <c r="C26">
        <v>63</v>
      </c>
      <c r="D26" t="str">
        <v>Romaine Lettuce / each</v>
      </c>
      <c r="E26" s="2">
        <v>2</v>
      </c>
      <c r="F26" s="2">
        <v>2.9</v>
      </c>
      <c r="G26" s="2">
        <v>4</v>
      </c>
      <c r="H26" t="str">
        <v>Leafy greens, lettuce, salad mix, or shoots</v>
      </c>
    </row>
    <row r="27">
      <c r="A27" t="str">
        <v>Organic Vegetables - Roots 🧅🧄 🥕🥔 — 1 month+ / preserved</v>
      </c>
      <c r="B27" s="1">
        <v>0.45</v>
      </c>
      <c r="C27">
        <v>8</v>
      </c>
      <c r="D27" t="str">
        <v>Soft-neck Garlic ( CA ) / 1/2 lb</v>
      </c>
      <c r="E27" s="2">
        <v>2.66</v>
      </c>
      <c r="F27" s="2">
        <v>3.86</v>
      </c>
      <c r="G27" s="2">
        <v>3.86</v>
      </c>
      <c r="H27" t="str">
        <v>Storage root or cured allium; confirm tops removed and correct storage</v>
      </c>
    </row>
    <row r="28">
      <c r="A28" t="str">
        <v>Organic Vegetables - Roots 🧅🧄 🥕🥔 — 1 week to under 1 month</v>
      </c>
      <c r="B28" s="1">
        <v>0.6</v>
      </c>
      <c r="C28">
        <v>1</v>
      </c>
      <c r="D28" t="str">
        <v>Cherry Belle Radish / bu</v>
      </c>
      <c r="E28" s="2">
        <v>2</v>
      </c>
      <c r="F28" s="2">
        <v>2.9</v>
      </c>
      <c r="G28" s="2">
        <v>3.2</v>
      </c>
      <c r="H28" t="str">
        <v>Fresh root or allium generally kept for weeks</v>
      </c>
    </row>
    <row r="29">
      <c r="A29" t="str">
        <v>Organic Vegetables - Roots 🧅🧄 🥕🥔 — Under 1 week / high loss</v>
      </c>
      <c r="B29" s="1">
        <v>1</v>
      </c>
      <c r="C29">
        <v>2</v>
      </c>
      <c r="D29" t="str">
        <v>Baby Red Onion / bu</v>
      </c>
      <c r="E29" s="2">
        <v>2.5</v>
      </c>
      <c r="F29" s="2">
        <v>3.63</v>
      </c>
      <c r="G29" s="2">
        <v>5</v>
      </c>
      <c r="H29" t="str">
        <v>Fresh or bunched roots/alliums with tender tops</v>
      </c>
    </row>
    <row r="30">
      <c r="A30" t="str">
        <v>Organic Vegetables - Roots🧅🧄🥕🥔 — 1 month+ / preserved</v>
      </c>
      <c r="B30" s="1">
        <v>0.45</v>
      </c>
      <c r="C30">
        <v>35</v>
      </c>
      <c r="D30" t="str">
        <v>Yellow Onion / 1lb</v>
      </c>
      <c r="E30" s="2">
        <v>1.5</v>
      </c>
      <c r="F30" s="2">
        <v>2.17</v>
      </c>
      <c r="G30" s="2">
        <v>2.17</v>
      </c>
      <c r="H30" t="str">
        <v>Storage root or cured allium; confirm tops removed and correct storage</v>
      </c>
    </row>
    <row r="31">
      <c r="A31" t="str">
        <v>Organic Vegetables - Roots🧅🧄🥕🥔 — 1 week to under 1 month</v>
      </c>
      <c r="B31" s="1">
        <v>0.6</v>
      </c>
      <c r="C31">
        <v>25</v>
      </c>
      <c r="D31" t="str">
        <v>Purple Daikon Radish / 1 pound</v>
      </c>
      <c r="E31" s="2">
        <v>3.2</v>
      </c>
      <c r="F31" s="2">
        <v>4.64</v>
      </c>
      <c r="G31" s="2">
        <v>5.12</v>
      </c>
      <c r="H31" t="str">
        <v>Fresh root or allium generally kept for weeks</v>
      </c>
    </row>
    <row r="32">
      <c r="A32" t="str">
        <v>Organic Vegetables - Roots🧅🧄🥕🥔 — Under 1 week / high loss</v>
      </c>
      <c r="B32" s="1">
        <v>1</v>
      </c>
      <c r="C32">
        <v>9</v>
      </c>
      <c r="D32" t="str">
        <v>Green Scallions / each</v>
      </c>
      <c r="E32" s="2">
        <v>2</v>
      </c>
      <c r="F32" s="2">
        <v>2.9</v>
      </c>
      <c r="G32" s="2">
        <v>4</v>
      </c>
      <c r="H32" t="str">
        <v>Fresh or bunched roots/alliums with tender tops</v>
      </c>
    </row>
    <row r="34">
      <c r="A34" t="str">
        <v>AGENT IMPLEMENTATION INSTRUCTIONS</v>
      </c>
    </row>
    <row r="35">
      <c r="A35" t="str">
        <v>1. Review scope</v>
      </c>
      <c r="B35" t="str">
        <v>Filter Product Pricing by HOLD and REVIEW. Confirm vendor, category, active/seasonal status, product shelf life, and package identity. Do not publish products with unresolved holds.</v>
      </c>
    </row>
    <row r="36">
      <c r="A36" t="str">
        <v>2. Verify cost</v>
      </c>
      <c r="B36" t="str">
        <v>Compare the local base price and the blank “Verified vendor cost” field against supplier invoices, freight, packaging, and any purchased-unit conversions. Correct costs through the normal local pricing workflow first.</v>
      </c>
    </row>
    <row r="37">
      <c r="A37" t="str">
        <v>3. Confirm tier</v>
      </c>
      <c r="B37" t="str">
        <v>Use 100% for produce normally sold within a week, 60% for about 1–4 weeks, and 45% for storage, frozen, or dried items. Amend classification-overrides.json for product-specific decisions and regenerate the workbook.</v>
      </c>
    </row>
    <row r="38">
      <c r="A38" t="str">
        <v>4. Check price and demand</v>
      </c>
      <c r="B38" t="str">
        <v>Review sample and all SKU prices against local retail prices and producer agreements. Check recent spoilage, customer volume, and active sales; revise rates where demand or margins warrant.</v>
      </c>
    </row>
    <row r="39">
      <c r="A39" t="str">
        <v>5. Save locally</v>
      </c>
      <c r="B39" t="str">
        <v>For approved standard products only, set the product markup override in Store → Pricing / Products Details, or PUT /api/admin/products/:id/markup with markupOverride 1.00, 0.60, or 0.45. This is a local save.</v>
      </c>
    </row>
    <row r="40">
      <c r="A40" t="str">
        <v>6. Publish deliberately</v>
      </c>
      <c r="B40" t="str">
        <v>Run selected-product checks in Store → Product Sync for Local Line. Review frozen audit actions and price-list results, then approve only supported price actions. Do not patch Local Line directly. Square mirrors its separate CSA Store retail/package price rules; do not push these customer-list markups to Square.</v>
      </c>
    </row>
    <row r="41">
      <c r="A41" t="str">
        <v>7. Verify and monitor</v>
      </c>
      <c r="B41" t="str">
        <v>Read back local and Local Line guest/member/herd-share/SNAP prices, sales and exceptions. Compare weekly sell-through, shrink, and order units for at least four weeks; adjust tiers individually.</v>
      </c>
    </row>
    <row r="43">
      <c r="A43" t="str">
        <v>SOURCES</v>
      </c>
      <c r="B43" t="str">
        <v>URL</v>
      </c>
    </row>
    <row r="44">
      <c r="A44" t="str">
        <v>University of Minnesota vegetable storage and shelf life</v>
      </c>
      <c r="B44" t="str">
        <v>https://extension.umn.edu/garden-and-home/yard-and-garden/gardening-in-minnesota/harvesting-and-storing-home-garden-vegetables</v>
      </c>
    </row>
    <row r="45">
      <c r="A45" t="str">
        <v>Oregon State food storage times</v>
      </c>
      <c r="B45" t="str">
        <v>https://extension.oregonstate.edu/sites/extd8/files/2023-08/pnw612.pdf</v>
      </c>
    </row>
    <row r="46">
      <c r="A46" t="str">
        <v>NC State retailer produce margin guidance</v>
      </c>
      <c r="B46" t="str">
        <v>https://growingsmallfarms.ces.ncsu.edu/growingsmallfarms-marketingretailers/</v>
      </c>
    </row>
    <row r="48">
      <c r="A48" t="str">
        <v>RERUN</v>
      </c>
      <c r="B48" t="str">
        <v>From the repository root: node --env-file=.env reports/produce-markup/build.mjs</v>
      </c>
    </row>
    <row r="49">
      <c r="A49" t="str">
        <v>Fixed period</v>
      </c>
      <c r="B49" t="str">
        <v>Add --from=2026-01-01 --through=2026-09-30. Without dates, the script uses the current year through the last complete month.</v>
      </c>
    </row>
    <row r="50">
      <c r="A50" t="str">
        <v>Manual decision file</v>
      </c>
      <c r="B50" t="str">
        <v>classification-overrides.json accepts product IDs such as {"805758":{"rate":45,"reason":"Frozen product"}}. Rates are 45, 60, 100, or "skip".</v>
      </c>
    </row>
  </sheetData>
  <ignoredErrors>
    <ignoredError numberStoredAsText="1" sqref="A1:H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19"/>
  <sheetViews>
    <sheetView workbookViewId="0"/>
  </sheetViews>
  <cols>
    <col min="1" max="1" width="28.83203125" customWidth="1"/>
    <col min="2" max="2" width="48.83203125" customWidth="1"/>
    <col min="3" max="3" width="13.83203125" customWidth="1"/>
    <col min="4" max="4" width="42.83203125" customWidth="1"/>
    <col min="5" max="5" width="13.83203125" customWidth="1"/>
    <col min="6" max="6" width="25.83203125" customWidth="1"/>
    <col min="7" max="7" width="13.83203125" customWidth="1"/>
    <col min="8" max="8" width="23.83203125" customWidth="1"/>
    <col min="9" max="9" width="23.83203125" customWidth="1"/>
    <col min="10" max="10" width="17.83203125" customWidth="1"/>
    <col min="11" max="11" width="16.83203125" customWidth="1"/>
    <col min="12" max="12" width="29.83203125" customWidth="1"/>
    <col min="13" max="13" width="58.83203125" customWidth="1"/>
    <col min="14" max="14" width="21.83203125" customWidth="1"/>
    <col min="15" max="15" width="20.83203125" customWidth="1"/>
    <col min="16" max="16" width="18.83203125" customWidth="1"/>
    <col min="17" max="17" width="18.83203125" customWidth="1"/>
    <col min="18" max="18" width="18.83203125" customWidth="1"/>
    <col min="19" max="19" width="23.83203125" customWidth="1"/>
    <col min="20" max="20" width="25.83203125" customWidth="1"/>
    <col min="21" max="21" width="22.83203125" customWidth="1"/>
    <col min="22" max="22" width="13.83203125" customWidth="1"/>
    <col min="23" max="23" width="16.83203125" customWidth="1"/>
    <col min="24" max="24" width="23.83203125" customWidth="1"/>
    <col min="25" max="25" width="34.83203125" customWidth="1"/>
    <col min="26" max="26" width="20.83203125" customWidth="1"/>
    <col min="27" max="27" width="50.83203125" customWidth="1"/>
  </cols>
  <sheetData>
    <row r="1">
      <c r="A1" t="str">
        <v>Vendor</v>
      </c>
      <c r="B1" t="str">
        <v>Category</v>
      </c>
      <c r="C1" t="str">
        <v>Product ID</v>
      </c>
      <c r="D1" t="str">
        <v>Product</v>
      </c>
      <c r="E1" t="str">
        <v>Package ID</v>
      </c>
      <c r="F1" t="str">
        <v>Package</v>
      </c>
      <c r="G1" t="str">
        <v>Visible now</v>
      </c>
      <c r="H1" t="str">
        <v>Vendor cost proxy / local base</v>
      </c>
      <c r="I1" t="str">
        <v>Verified vendor cost (enter)</v>
      </c>
      <c r="J1" t="str">
        <v>Current markup</v>
      </c>
      <c r="K1" t="str">
        <v>New markup</v>
      </c>
      <c r="L1" t="str">
        <v>Shelf-life tier</v>
      </c>
      <c r="M1" t="str">
        <v>Classification reason</v>
      </c>
      <c r="N1" t="str">
        <v>Current regular price</v>
      </c>
      <c r="O1" t="str">
        <v>New regular price</v>
      </c>
      <c r="P1" t="str">
        <v>Change / unit</v>
      </c>
      <c r="Q1" t="str">
        <v>Price change %</v>
      </c>
      <c r="R1" t="str">
        <v>Historical units</v>
      </c>
      <c r="S1" t="str">
        <v>Historical actual revenue</v>
      </c>
      <c r="T1" t="str">
        <v>Modeled revenue gain, same units</v>
      </c>
      <c r="U1" t="str">
        <v>Existing product override</v>
      </c>
      <c r="V1" t="str">
        <v>Active sale</v>
      </c>
      <c r="W1" t="str">
        <v>Sale discount</v>
      </c>
      <c r="X1" t="str">
        <v>Customer price overrides</v>
      </c>
      <c r="Y1" t="str">
        <v>Activation status</v>
      </c>
      <c r="Z1" t="str">
        <v>Agent decision</v>
      </c>
      <c r="AA1" t="str">
        <v>Agent notes</v>
      </c>
    </row>
    <row r="2">
      <c r="A2" t="str">
        <v>Camas Swale Farm</v>
      </c>
      <c r="B2" t="str">
        <v>Organic Cruciferous Vegetables🥦</v>
      </c>
      <c r="C2">
        <v>890656</v>
      </c>
      <c r="D2" t="str">
        <v>Broccoli</v>
      </c>
      <c r="E2">
        <v>630145</v>
      </c>
      <c r="F2" t="str">
        <v>1 lb</v>
      </c>
      <c r="G2" t="str">
        <v>No</v>
      </c>
      <c r="H2" s="2">
        <v>2.5</v>
      </c>
      <c r="J2" s="1">
        <v>0.45</v>
      </c>
      <c r="K2" s="1">
        <v>0.6</v>
      </c>
      <c r="L2" t="str">
        <v>1 week to under 1 month</v>
      </c>
      <c r="M2" t="str">
        <v>Broccoli, cauliflower, or Brussels sprouts</v>
      </c>
      <c r="N2" s="2">
        <v>3.63</v>
      </c>
      <c r="O2" s="2">
        <v>4</v>
      </c>
      <c r="P2" s="2">
        <v>0.37</v>
      </c>
      <c r="Q2" s="1">
        <v>0.10192837465564741</v>
      </c>
      <c r="R2">
        <v>5</v>
      </c>
      <c r="S2" s="2">
        <v>17.5</v>
      </c>
      <c r="T2" s="2">
        <v>1.85</v>
      </c>
      <c r="U2" s="1">
        <v>0.45</v>
      </c>
      <c r="V2" t="str">
        <v>No</v>
      </c>
      <c r="W2" s="1">
        <v>0</v>
      </c>
      <c r="X2" t="str">
        <v>No</v>
      </c>
      <c r="Y2" t="str">
        <v>REVIEW hidden / seasonal</v>
      </c>
      <c r="Z2" t="str">
        <v/>
      </c>
      <c r="AA2" t="str">
        <v/>
      </c>
    </row>
    <row r="3">
      <c r="A3" t="str">
        <v>Camas Swale Farm</v>
      </c>
      <c r="B3" t="str">
        <v>Organic Cruciferous Vegetables🥦</v>
      </c>
      <c r="C3">
        <v>899385</v>
      </c>
      <c r="D3" t="str">
        <v>Broccoli</v>
      </c>
      <c r="E3">
        <v>641280</v>
      </c>
      <c r="F3" t="str">
        <v>ea</v>
      </c>
      <c r="G3" t="str">
        <v>No</v>
      </c>
      <c r="H3" s="2">
        <v>5</v>
      </c>
      <c r="J3" s="1">
        <v>0.45</v>
      </c>
      <c r="K3" s="1">
        <v>0.6</v>
      </c>
      <c r="L3" t="str">
        <v>1 week to under 1 month</v>
      </c>
      <c r="M3" t="str">
        <v>Broccoli, cauliflower, or Brussels sprouts</v>
      </c>
      <c r="N3" s="2">
        <v>7.25</v>
      </c>
      <c r="O3" s="2">
        <v>8</v>
      </c>
      <c r="P3" s="2">
        <v>0.75</v>
      </c>
      <c r="Q3" s="1">
        <v>0.10344827586206895</v>
      </c>
      <c r="R3">
        <v>314</v>
      </c>
      <c r="S3" s="2">
        <v>1647.36</v>
      </c>
      <c r="T3" s="2">
        <v>235.5</v>
      </c>
      <c r="U3" s="1">
        <v>0.45</v>
      </c>
      <c r="V3" t="str">
        <v>No</v>
      </c>
      <c r="W3" s="1">
        <v>0</v>
      </c>
      <c r="X3" t="str">
        <v>No</v>
      </c>
      <c r="Y3" t="str">
        <v>REVIEW hidden / seasonal</v>
      </c>
      <c r="Z3" t="str">
        <v/>
      </c>
      <c r="AA3" t="str">
        <v/>
      </c>
    </row>
    <row r="4">
      <c r="A4" t="str">
        <v>Camas Swale Farm</v>
      </c>
      <c r="B4" t="str">
        <v>Organic Cruciferous Vegetables🥦</v>
      </c>
      <c r="C4">
        <v>921358</v>
      </c>
      <c r="D4" t="str">
        <v>Brussel Sprouts on the stalk</v>
      </c>
      <c r="E4">
        <v>667810</v>
      </c>
      <c r="F4" t="str">
        <v>ea</v>
      </c>
      <c r="G4" t="str">
        <v>No</v>
      </c>
      <c r="H4" s="2">
        <v>4.5</v>
      </c>
      <c r="J4" s="1">
        <v>0.45</v>
      </c>
      <c r="K4" s="1">
        <v>0.6</v>
      </c>
      <c r="L4" t="str">
        <v>1 week to under 1 month</v>
      </c>
      <c r="M4" t="str">
        <v>Broccoli, cauliflower, or Brussels sprouts</v>
      </c>
      <c r="N4" s="2">
        <v>6.52</v>
      </c>
      <c r="O4" s="2">
        <v>7.2</v>
      </c>
      <c r="P4" s="2">
        <v>0.68</v>
      </c>
      <c r="Q4" s="1">
        <v>0.10429447852760743</v>
      </c>
      <c r="R4">
        <v>0</v>
      </c>
      <c r="S4" s="2">
        <v>0</v>
      </c>
      <c r="T4" s="2">
        <v>0</v>
      </c>
      <c r="U4" s="1">
        <v>0.45</v>
      </c>
      <c r="V4" t="str">
        <v>No</v>
      </c>
      <c r="W4" s="1">
        <v>0</v>
      </c>
      <c r="X4" t="str">
        <v>No</v>
      </c>
      <c r="Y4" t="str">
        <v>REVIEW hidden / seasonal</v>
      </c>
      <c r="Z4" t="str">
        <v/>
      </c>
      <c r="AA4" t="str">
        <v/>
      </c>
    </row>
    <row r="5">
      <c r="A5" t="str">
        <v>Camas Swale Farm</v>
      </c>
      <c r="B5" t="str">
        <v>Organic Cruciferous Vegetables🥦</v>
      </c>
      <c r="C5">
        <v>915293</v>
      </c>
      <c r="D5" t="str">
        <v>Cauliflower</v>
      </c>
      <c r="E5">
        <v>661228</v>
      </c>
      <c r="F5" t="str">
        <v>1 lb</v>
      </c>
      <c r="G5" t="str">
        <v>No</v>
      </c>
      <c r="H5" s="2">
        <v>2.5</v>
      </c>
      <c r="J5" s="1">
        <v>0.45</v>
      </c>
      <c r="K5" s="1">
        <v>0.6</v>
      </c>
      <c r="L5" t="str">
        <v>1 week to under 1 month</v>
      </c>
      <c r="M5" t="str">
        <v>Broccoli, cauliflower, or Brussels sprouts</v>
      </c>
      <c r="N5" s="2">
        <v>3.63</v>
      </c>
      <c r="O5" s="2">
        <v>4</v>
      </c>
      <c r="P5" s="2">
        <v>0.37</v>
      </c>
      <c r="Q5" s="1">
        <v>0.10192837465564741</v>
      </c>
      <c r="R5">
        <v>4</v>
      </c>
      <c r="S5" s="2">
        <v>14</v>
      </c>
      <c r="T5" s="2">
        <v>1.48</v>
      </c>
      <c r="U5" s="1">
        <v>0.45</v>
      </c>
      <c r="V5" t="str">
        <v>No</v>
      </c>
      <c r="W5" s="1">
        <v>0</v>
      </c>
      <c r="X5" t="str">
        <v>No</v>
      </c>
      <c r="Y5" t="str">
        <v>REVIEW hidden / seasonal</v>
      </c>
      <c r="Z5" t="str">
        <v/>
      </c>
      <c r="AA5" t="str">
        <v/>
      </c>
    </row>
    <row r="6">
      <c r="A6" t="str">
        <v>Camas Swale Farm</v>
      </c>
      <c r="B6" t="str">
        <v>Organic Cruciferous Vegetables🥦</v>
      </c>
      <c r="C6">
        <v>915287</v>
      </c>
      <c r="D6" t="str">
        <v>Romanesco</v>
      </c>
      <c r="E6">
        <v>661221</v>
      </c>
      <c r="F6" t="str">
        <v>1 lb</v>
      </c>
      <c r="G6" t="str">
        <v>No</v>
      </c>
      <c r="H6" s="2">
        <v>2.5</v>
      </c>
      <c r="J6" s="1">
        <v>0.45</v>
      </c>
      <c r="K6" s="1">
        <v>0.6</v>
      </c>
      <c r="L6" t="str">
        <v>1 week to under 1 month</v>
      </c>
      <c r="M6" t="str">
        <v>Broccoli, cauliflower, or Brussels sprouts</v>
      </c>
      <c r="N6" s="2">
        <v>3.63</v>
      </c>
      <c r="O6" s="2">
        <v>4</v>
      </c>
      <c r="P6" s="2">
        <v>0.37</v>
      </c>
      <c r="Q6" s="1">
        <v>0.10192837465564741</v>
      </c>
      <c r="R6">
        <v>0</v>
      </c>
      <c r="S6" s="2">
        <v>0</v>
      </c>
      <c r="T6" s="2">
        <v>0</v>
      </c>
      <c r="U6" s="1">
        <v>0.45</v>
      </c>
      <c r="V6" t="str">
        <v>No</v>
      </c>
      <c r="W6" s="1">
        <v>0</v>
      </c>
      <c r="X6" t="str">
        <v>No</v>
      </c>
      <c r="Y6" t="str">
        <v>REVIEW hidden / seasonal</v>
      </c>
      <c r="Z6" t="str">
        <v/>
      </c>
      <c r="AA6" t="str">
        <v/>
      </c>
    </row>
    <row r="7">
      <c r="A7" t="str">
        <v>Grazier's Garden</v>
      </c>
      <c r="B7" t="str">
        <v>Organic Cruciferous Vegetables🥦</v>
      </c>
      <c r="C7">
        <v>805955</v>
      </c>
      <c r="D7" t="str">
        <v>Purple Sprouting Broccoli</v>
      </c>
      <c r="E7">
        <v>527015</v>
      </c>
      <c r="F7" t="str">
        <v>each</v>
      </c>
      <c r="G7" t="str">
        <v>No</v>
      </c>
      <c r="H7" s="2">
        <v>2.75</v>
      </c>
      <c r="J7" s="1">
        <v>0.45</v>
      </c>
      <c r="K7" s="1">
        <v>0.6</v>
      </c>
      <c r="L7" t="str">
        <v>1 week to under 1 month</v>
      </c>
      <c r="M7" t="str">
        <v>Broccoli, cauliflower, or Brussels sprouts</v>
      </c>
      <c r="N7" s="2">
        <v>3.99</v>
      </c>
      <c r="O7" s="2">
        <v>4.4</v>
      </c>
      <c r="P7" s="2">
        <v>0.41</v>
      </c>
      <c r="Q7" s="1">
        <v>0.10275689223057638</v>
      </c>
      <c r="R7">
        <v>0</v>
      </c>
      <c r="S7" s="2">
        <v>0</v>
      </c>
      <c r="T7" s="2">
        <v>0</v>
      </c>
      <c r="U7" s="1">
        <v>0.45</v>
      </c>
      <c r="V7" t="str">
        <v>No</v>
      </c>
      <c r="W7" s="1">
        <v>0</v>
      </c>
      <c r="X7" t="str">
        <v>No</v>
      </c>
      <c r="Y7" t="str">
        <v>REVIEW hidden / seasonal</v>
      </c>
      <c r="Z7" t="str">
        <v/>
      </c>
      <c r="AA7" t="str">
        <v/>
      </c>
    </row>
    <row r="8">
      <c r="A8" t="str">
        <v>Little Wings</v>
      </c>
      <c r="B8" t="str">
        <v>Organic Cruciferous Vegetables🥦</v>
      </c>
      <c r="C8">
        <v>980329</v>
      </c>
      <c r="D8" t="str">
        <v>Green Broccolini</v>
      </c>
      <c r="E8">
        <v>748244</v>
      </c>
      <c r="F8" t="str">
        <v>each</v>
      </c>
      <c r="G8" t="str">
        <v>No</v>
      </c>
      <c r="H8" s="2">
        <v>2.75</v>
      </c>
      <c r="J8" s="1">
        <v>0.45</v>
      </c>
      <c r="K8" s="1">
        <v>0.6</v>
      </c>
      <c r="L8" t="str">
        <v>1 week to under 1 month</v>
      </c>
      <c r="M8" t="str">
        <v>Broccoli, cauliflower, or Brussels sprouts</v>
      </c>
      <c r="N8" s="2">
        <v>3.99</v>
      </c>
      <c r="O8" s="2">
        <v>4.4</v>
      </c>
      <c r="P8" s="2">
        <v>0.41</v>
      </c>
      <c r="Q8" s="1">
        <v>0.10275689223057638</v>
      </c>
      <c r="R8">
        <v>119</v>
      </c>
      <c r="S8" s="2">
        <v>458.15</v>
      </c>
      <c r="T8" s="2">
        <v>48.79</v>
      </c>
      <c r="U8" s="1">
        <v>0.45</v>
      </c>
      <c r="V8" t="str">
        <v>No</v>
      </c>
      <c r="W8" s="1">
        <v>0</v>
      </c>
      <c r="X8" t="str">
        <v>No</v>
      </c>
      <c r="Y8" t="str">
        <v>REVIEW hidden / seasonal</v>
      </c>
      <c r="Z8" t="str">
        <v/>
      </c>
      <c r="AA8" t="str">
        <v/>
      </c>
    </row>
    <row r="9">
      <c r="A9" t="str">
        <v>Little Wings</v>
      </c>
      <c r="B9" t="str">
        <v>Organic Cruciferous Vegetables🥦</v>
      </c>
      <c r="C9">
        <v>982583</v>
      </c>
      <c r="D9" t="str">
        <v>Green Kohlrabi</v>
      </c>
      <c r="E9">
        <v>751076</v>
      </c>
      <c r="F9" t="str">
        <v>1 bunch</v>
      </c>
      <c r="G9" t="str">
        <v>No</v>
      </c>
      <c r="H9" s="2">
        <v>2.25</v>
      </c>
      <c r="J9" s="1">
        <v>0.45</v>
      </c>
      <c r="K9" s="1">
        <v>0.6</v>
      </c>
      <c r="L9" t="str">
        <v>1 week to under 1 month</v>
      </c>
      <c r="M9" t="str">
        <v>Kohlrabi is sold here in bunches; verify whether tops are removed</v>
      </c>
      <c r="N9" s="2">
        <v>3.26</v>
      </c>
      <c r="O9" s="2">
        <v>3.6</v>
      </c>
      <c r="P9" s="2">
        <v>0.34</v>
      </c>
      <c r="Q9" s="1">
        <v>0.10429447852760743</v>
      </c>
      <c r="R9">
        <v>28</v>
      </c>
      <c r="S9" s="2">
        <v>88.2</v>
      </c>
      <c r="T9" s="2">
        <v>9.52</v>
      </c>
      <c r="U9" s="1">
        <v>0.45</v>
      </c>
      <c r="V9" t="str">
        <v>No</v>
      </c>
      <c r="W9" s="1">
        <v>0</v>
      </c>
      <c r="X9" t="str">
        <v>No</v>
      </c>
      <c r="Y9" t="str">
        <v>REVIEW hidden / seasonal</v>
      </c>
      <c r="Z9" t="str">
        <v/>
      </c>
      <c r="AA9" t="str">
        <v/>
      </c>
    </row>
    <row r="10">
      <c r="A10" t="str">
        <v>Little Wings</v>
      </c>
      <c r="B10" t="str">
        <v>Organic Cruciferous Vegetables🥦</v>
      </c>
      <c r="C10">
        <v>805984</v>
      </c>
      <c r="D10" t="str">
        <v>Purple Kohlrabi</v>
      </c>
      <c r="E10">
        <v>527048</v>
      </c>
      <c r="F10" t="str">
        <v>1 bunch</v>
      </c>
      <c r="G10" t="str">
        <v>No</v>
      </c>
      <c r="H10" s="2">
        <v>2.25</v>
      </c>
      <c r="J10" s="1">
        <v>0.45</v>
      </c>
      <c r="K10" s="1">
        <v>0.6</v>
      </c>
      <c r="L10" t="str">
        <v>1 week to under 1 month</v>
      </c>
      <c r="M10" t="str">
        <v>Kohlrabi is sold here in bunches; verify whether tops are removed</v>
      </c>
      <c r="N10" s="2">
        <v>3.26</v>
      </c>
      <c r="O10" s="2">
        <v>3.6</v>
      </c>
      <c r="P10" s="2">
        <v>0.34</v>
      </c>
      <c r="Q10" s="1">
        <v>0.10429447852760743</v>
      </c>
      <c r="R10">
        <v>12</v>
      </c>
      <c r="S10" s="2">
        <v>37.8</v>
      </c>
      <c r="T10" s="2">
        <v>4.08</v>
      </c>
      <c r="U10" s="1">
        <v>0.45</v>
      </c>
      <c r="V10" t="str">
        <v>No</v>
      </c>
      <c r="W10" s="1">
        <v>0</v>
      </c>
      <c r="X10" t="str">
        <v>No</v>
      </c>
      <c r="Y10" t="str">
        <v>REVIEW hidden / seasonal</v>
      </c>
      <c r="Z10" t="str">
        <v/>
      </c>
      <c r="AA10" t="str">
        <v/>
      </c>
    </row>
    <row r="11">
      <c r="A11" t="str">
        <v>Red Tail Growers</v>
      </c>
      <c r="B11" t="str">
        <v>Organic Cruciferous Vegetables🥦</v>
      </c>
      <c r="C11">
        <v>987329</v>
      </c>
      <c r="D11" t="str">
        <v>Cauliflower</v>
      </c>
      <c r="E11">
        <v>758110</v>
      </c>
      <c r="F11" t="str">
        <v>ea</v>
      </c>
      <c r="G11" t="str">
        <v>Yes</v>
      </c>
      <c r="H11" s="2">
        <v>6</v>
      </c>
      <c r="J11" s="1">
        <v>0.45</v>
      </c>
      <c r="K11" s="1">
        <v>0.6</v>
      </c>
      <c r="L11" t="str">
        <v>1 week to under 1 month</v>
      </c>
      <c r="M11" t="str">
        <v>Broccoli, cauliflower, or Brussels sprouts</v>
      </c>
      <c r="N11" s="2">
        <v>8.7</v>
      </c>
      <c r="O11" s="2">
        <v>9.6</v>
      </c>
      <c r="P11" s="2">
        <v>0.9</v>
      </c>
      <c r="Q11" s="1">
        <v>0.10344827586206895</v>
      </c>
      <c r="R11">
        <v>29</v>
      </c>
      <c r="S11" s="2">
        <v>203</v>
      </c>
      <c r="T11" s="2">
        <v>26.1</v>
      </c>
      <c r="U11" s="1">
        <v>0.45</v>
      </c>
      <c r="V11" t="str">
        <v>No</v>
      </c>
      <c r="W11" s="1">
        <v>0</v>
      </c>
      <c r="X11" t="str">
        <v>No</v>
      </c>
      <c r="Y11" t="str">
        <v>Candidate</v>
      </c>
      <c r="Z11" t="str">
        <v/>
      </c>
      <c r="AA11" t="str">
        <v/>
      </c>
    </row>
    <row r="12">
      <c r="A12" t="str">
        <v>Red Tail Growers</v>
      </c>
      <c r="B12" t="str">
        <v>Organic Cruciferous Vegetables🥦</v>
      </c>
      <c r="C12">
        <v>805861</v>
      </c>
      <c r="D12" t="str">
        <v>Purple and Green Broccolini</v>
      </c>
      <c r="E12">
        <v>526919</v>
      </c>
      <c r="F12" t="str">
        <v>each</v>
      </c>
      <c r="G12" t="str">
        <v>No</v>
      </c>
      <c r="H12" s="2">
        <v>2.75</v>
      </c>
      <c r="J12" s="1">
        <v>0.45</v>
      </c>
      <c r="K12" s="1">
        <v>0.6</v>
      </c>
      <c r="L12" t="str">
        <v>1 week to under 1 month</v>
      </c>
      <c r="M12" t="str">
        <v>Broccoli, cauliflower, or Brussels sprouts</v>
      </c>
      <c r="N12" s="2">
        <v>3.99</v>
      </c>
      <c r="O12" s="2">
        <v>4.4</v>
      </c>
      <c r="P12" s="2">
        <v>0.41</v>
      </c>
      <c r="Q12" s="1">
        <v>0.10275689223057638</v>
      </c>
      <c r="R12">
        <v>0</v>
      </c>
      <c r="S12" s="2">
        <v>0</v>
      </c>
      <c r="T12" s="2">
        <v>0</v>
      </c>
      <c r="U12" s="1">
        <v>0.45</v>
      </c>
      <c r="V12" t="str">
        <v>No</v>
      </c>
      <c r="W12" s="1">
        <v>0</v>
      </c>
      <c r="X12" t="str">
        <v>No</v>
      </c>
      <c r="Y12" t="str">
        <v>REVIEW hidden / seasonal</v>
      </c>
      <c r="Z12" t="str">
        <v/>
      </c>
      <c r="AA12" t="str">
        <v/>
      </c>
    </row>
    <row r="13">
      <c r="A13" t="str">
        <v>Organically Grown Company</v>
      </c>
      <c r="B13" t="str">
        <v>Organic Cruciferous Vegetables🥦</v>
      </c>
      <c r="C13">
        <v>927368</v>
      </c>
      <c r="D13" t="str">
        <v>Broccoli Rapini</v>
      </c>
      <c r="E13">
        <v>675355</v>
      </c>
      <c r="F13" t="str">
        <v>bu</v>
      </c>
      <c r="G13" t="str">
        <v>No</v>
      </c>
      <c r="H13" s="2">
        <v>2.5</v>
      </c>
      <c r="J13" s="1">
        <v>0.45</v>
      </c>
      <c r="K13" s="1">
        <v>1</v>
      </c>
      <c r="L13" t="str">
        <v>Under 1 week / high loss</v>
      </c>
      <c r="M13" t="str">
        <v>Tender brassica greens</v>
      </c>
      <c r="N13" s="2">
        <v>3.63</v>
      </c>
      <c r="O13" s="2">
        <v>5</v>
      </c>
      <c r="P13" s="2">
        <v>1.37</v>
      </c>
      <c r="Q13" s="1">
        <v>0.3774104683195594</v>
      </c>
      <c r="R13">
        <v>451</v>
      </c>
      <c r="S13" s="2">
        <v>1584.58</v>
      </c>
      <c r="T13" s="2">
        <v>617.87</v>
      </c>
      <c r="U13" s="1">
        <v>0.45</v>
      </c>
      <c r="V13" t="str">
        <v>No</v>
      </c>
      <c r="W13" s="1">
        <v>0</v>
      </c>
      <c r="X13" t="str">
        <v>No</v>
      </c>
      <c r="Y13" t="str">
        <v>REVIEW hidden / seasonal</v>
      </c>
      <c r="Z13" t="str">
        <v/>
      </c>
      <c r="AA13" t="str">
        <v/>
      </c>
    </row>
    <row r="14">
      <c r="A14" t="str">
        <v>Organically Grown Company</v>
      </c>
      <c r="B14" t="str">
        <v>Organic Cruciferous Vegetables🥦</v>
      </c>
      <c r="C14">
        <v>862903</v>
      </c>
      <c r="D14" t="str">
        <v>Italian Kale Raab</v>
      </c>
      <c r="E14">
        <v>592913</v>
      </c>
      <c r="F14" t="str">
        <v>bu</v>
      </c>
      <c r="G14" t="str">
        <v>No</v>
      </c>
      <c r="H14" s="2">
        <v>2.3</v>
      </c>
      <c r="J14" s="1">
        <v>0.45</v>
      </c>
      <c r="K14" s="1">
        <v>1</v>
      </c>
      <c r="L14" t="str">
        <v>Under 1 week / high loss</v>
      </c>
      <c r="M14" t="str">
        <v>Tender brassica greens</v>
      </c>
      <c r="N14" s="2">
        <v>3.33</v>
      </c>
      <c r="O14" s="2">
        <v>4.6</v>
      </c>
      <c r="P14" s="2">
        <v>1.27</v>
      </c>
      <c r="Q14" s="1">
        <v>0.38138138138138133</v>
      </c>
      <c r="R14">
        <v>2</v>
      </c>
      <c r="S14" s="2">
        <v>6.44</v>
      </c>
      <c r="T14" s="2">
        <v>2.54</v>
      </c>
      <c r="U14" s="1">
        <v>0.45</v>
      </c>
      <c r="V14" t="str">
        <v>No</v>
      </c>
      <c r="W14" s="1">
        <v>0</v>
      </c>
      <c r="X14" t="str">
        <v>No</v>
      </c>
      <c r="Y14" t="str">
        <v>REVIEW hidden / seasonal</v>
      </c>
      <c r="Z14" t="str">
        <v/>
      </c>
      <c r="AA14" t="str">
        <v/>
      </c>
    </row>
    <row r="15">
      <c r="A15" t="str">
        <v>Full Farm CSA</v>
      </c>
      <c r="B15" t="str">
        <v>Organic Fruit 🍒🍎🫐</v>
      </c>
      <c r="C15">
        <v>991582</v>
      </c>
      <c r="D15" t="str">
        <v>Frozen Blackberries</v>
      </c>
      <c r="E15">
        <v>764004</v>
      </c>
      <c r="F15" t="str">
        <v>lb</v>
      </c>
      <c r="G15" t="str">
        <v>No</v>
      </c>
      <c r="H15" s="2">
        <v>10</v>
      </c>
      <c r="J15" s="1">
        <v>0.45</v>
      </c>
      <c r="K15" s="1">
        <v>0.45</v>
      </c>
      <c r="L15" t="str">
        <v>1 month+ / preserved</v>
      </c>
      <c r="M15" t="str">
        <v>Frozen, dried, or cured</v>
      </c>
      <c r="N15" s="2">
        <v>14.5</v>
      </c>
      <c r="O15" s="2">
        <v>14.5</v>
      </c>
      <c r="P15" s="2">
        <v>0</v>
      </c>
      <c r="Q15" s="1">
        <v>0</v>
      </c>
      <c r="R15">
        <v>6</v>
      </c>
      <c r="S15" s="2">
        <v>84</v>
      </c>
      <c r="T15" s="2">
        <v>0</v>
      </c>
      <c r="U15" s="1">
        <v>0.45</v>
      </c>
      <c r="V15" t="str">
        <v>No</v>
      </c>
      <c r="W15" s="1">
        <v>0</v>
      </c>
      <c r="X15" t="str">
        <v>No</v>
      </c>
      <c r="Y15" t="str">
        <v>REVIEW hidden / seasonal</v>
      </c>
      <c r="Z15" t="str">
        <v/>
      </c>
      <c r="AA15" t="str">
        <v/>
      </c>
    </row>
    <row r="16">
      <c r="A16" t="str">
        <v>Full Farm CSA</v>
      </c>
      <c r="B16" t="str">
        <v>Organic Fruit 🍒🍎🫐</v>
      </c>
      <c r="C16">
        <v>805758</v>
      </c>
      <c r="D16" t="str">
        <v>Frozen Blueberries</v>
      </c>
      <c r="E16">
        <v>526813</v>
      </c>
      <c r="F16" t="str">
        <v>~1.0 lbs</v>
      </c>
      <c r="G16" t="str">
        <v>Yes</v>
      </c>
      <c r="H16" s="2">
        <v>4.5</v>
      </c>
      <c r="J16" s="1">
        <v>0.45</v>
      </c>
      <c r="K16" s="1">
        <v>0.45</v>
      </c>
      <c r="L16" t="str">
        <v>1 month+ / preserved</v>
      </c>
      <c r="M16" t="str">
        <v>Frozen, dried, or cured</v>
      </c>
      <c r="N16" s="2">
        <v>6.52</v>
      </c>
      <c r="O16" s="2">
        <v>6.52</v>
      </c>
      <c r="P16" s="2">
        <v>0</v>
      </c>
      <c r="Q16" s="1">
        <v>0</v>
      </c>
      <c r="R16">
        <v>588</v>
      </c>
      <c r="S16" s="2">
        <v>3630.43</v>
      </c>
      <c r="T16" s="2">
        <v>0</v>
      </c>
      <c r="U16" s="1">
        <v>0.45</v>
      </c>
      <c r="V16" t="str">
        <v>No</v>
      </c>
      <c r="W16" s="1">
        <v>0</v>
      </c>
      <c r="X16" t="str">
        <v>No</v>
      </c>
      <c r="Y16" t="str">
        <v>Candidate</v>
      </c>
      <c r="Z16" t="str">
        <v/>
      </c>
      <c r="AA16" t="str">
        <v/>
      </c>
    </row>
    <row r="17">
      <c r="A17" t="str">
        <v>Full Farm CSA</v>
      </c>
      <c r="B17" t="str">
        <v>Organic Fruit 🍒🍎🫐</v>
      </c>
      <c r="C17">
        <v>805765</v>
      </c>
      <c r="D17" t="str">
        <v>Frozen Strawberries</v>
      </c>
      <c r="E17">
        <v>526821</v>
      </c>
      <c r="F17" t="str">
        <v>~1 lbs</v>
      </c>
      <c r="G17" t="str">
        <v>No</v>
      </c>
      <c r="H17" s="2">
        <v>7</v>
      </c>
      <c r="J17" s="1">
        <v>0.45</v>
      </c>
      <c r="K17" s="1">
        <v>0.45</v>
      </c>
      <c r="L17" t="str">
        <v>1 month+ / preserved</v>
      </c>
      <c r="M17" t="str">
        <v>Frozen, dried, or cured</v>
      </c>
      <c r="N17" s="2">
        <v>10.15</v>
      </c>
      <c r="O17" s="2">
        <v>10.15</v>
      </c>
      <c r="P17" s="2">
        <v>0</v>
      </c>
      <c r="Q17" s="1">
        <v>0</v>
      </c>
      <c r="R17">
        <v>80</v>
      </c>
      <c r="S17" s="2">
        <v>785.05</v>
      </c>
      <c r="T17" s="2">
        <v>0</v>
      </c>
      <c r="U17" s="1">
        <v>0.45</v>
      </c>
      <c r="V17" t="str">
        <v>No</v>
      </c>
      <c r="W17" s="1">
        <v>0</v>
      </c>
      <c r="X17" t="str">
        <v>No</v>
      </c>
      <c r="Y17" t="str">
        <v>REVIEW hidden / seasonal</v>
      </c>
      <c r="Z17" t="str">
        <v/>
      </c>
      <c r="AA17" t="str">
        <v/>
      </c>
    </row>
    <row r="18">
      <c r="A18" t="str">
        <v>Full Farm CSA</v>
      </c>
      <c r="B18" t="str">
        <v>Organic Fruit 🍒🍎🫐</v>
      </c>
      <c r="C18">
        <v>805764</v>
      </c>
      <c r="D18" t="str">
        <v>Quince</v>
      </c>
      <c r="E18">
        <v>526820</v>
      </c>
      <c r="F18" t="str">
        <v>each</v>
      </c>
      <c r="G18" t="str">
        <v>No</v>
      </c>
      <c r="H18" s="2">
        <v>1.5</v>
      </c>
      <c r="J18" s="1">
        <v>0.45</v>
      </c>
      <c r="K18" s="1">
        <v>0.45</v>
      </c>
      <c r="L18" t="str">
        <v>1 month+ / preserved</v>
      </c>
      <c r="M18" t="str">
        <v>Storage apple or quince</v>
      </c>
      <c r="N18" s="2">
        <v>2.17</v>
      </c>
      <c r="O18" s="2">
        <v>2.17</v>
      </c>
      <c r="P18" s="2">
        <v>0</v>
      </c>
      <c r="Q18" s="1">
        <v>0</v>
      </c>
      <c r="R18">
        <v>0</v>
      </c>
      <c r="S18" s="2">
        <v>0</v>
      </c>
      <c r="T18" s="2">
        <v>0</v>
      </c>
      <c r="U18" s="1">
        <v>0.45</v>
      </c>
      <c r="V18" t="str">
        <v>No</v>
      </c>
      <c r="W18" s="1">
        <v>0</v>
      </c>
      <c r="X18" t="str">
        <v>No</v>
      </c>
      <c r="Y18" t="str">
        <v>REVIEW hidden / seasonal</v>
      </c>
      <c r="Z18" t="str">
        <v/>
      </c>
      <c r="AA18" t="str">
        <v/>
      </c>
    </row>
    <row r="19">
      <c r="A19" t="str">
        <v>Grazier's Garden</v>
      </c>
      <c r="B19" t="str">
        <v>Organic Fruit 🍒🍎🫐</v>
      </c>
      <c r="C19">
        <v>988134</v>
      </c>
      <c r="D19" t="str">
        <v>Frozen Pitted Cherries</v>
      </c>
      <c r="E19">
        <v>759450</v>
      </c>
      <c r="F19" t="str">
        <v>lb</v>
      </c>
      <c r="G19" t="str">
        <v>No</v>
      </c>
      <c r="H19" s="2">
        <v>10</v>
      </c>
      <c r="J19" s="1">
        <v>0.45</v>
      </c>
      <c r="K19" s="1">
        <v>0.45</v>
      </c>
      <c r="L19" t="str">
        <v>1 month+ / preserved</v>
      </c>
      <c r="M19" t="str">
        <v>Frozen, dried, or cured</v>
      </c>
      <c r="N19" s="2">
        <v>14.5</v>
      </c>
      <c r="O19" s="2">
        <v>14.5</v>
      </c>
      <c r="P19" s="2">
        <v>0</v>
      </c>
      <c r="Q19" s="1">
        <v>0</v>
      </c>
      <c r="R19">
        <v>0</v>
      </c>
      <c r="S19" s="2">
        <v>0</v>
      </c>
      <c r="T19" s="2">
        <v>0</v>
      </c>
      <c r="U19" s="1">
        <v>0.45</v>
      </c>
      <c r="V19" t="str">
        <v>No</v>
      </c>
      <c r="W19" s="1">
        <v>0</v>
      </c>
      <c r="X19" t="str">
        <v>No</v>
      </c>
      <c r="Y19" t="str">
        <v>REVIEW hidden / seasonal</v>
      </c>
      <c r="Z19" t="str">
        <v/>
      </c>
      <c r="AA19" t="str">
        <v/>
      </c>
    </row>
    <row r="20">
      <c r="A20" t="str">
        <v>Organically Grown Company</v>
      </c>
      <c r="B20" t="str">
        <v>Organic Fruit 🍒🍎🫐</v>
      </c>
      <c r="C20">
        <v>944271</v>
      </c>
      <c r="D20" t="str">
        <v>Gala Apple</v>
      </c>
      <c r="E20">
        <v>699021</v>
      </c>
      <c r="F20" t="str">
        <v>ea</v>
      </c>
      <c r="G20" t="str">
        <v>No</v>
      </c>
      <c r="H20" s="2">
        <v>0.5</v>
      </c>
      <c r="J20" s="1">
        <v>0.45</v>
      </c>
      <c r="K20" s="1">
        <v>0.45</v>
      </c>
      <c r="L20" t="str">
        <v>1 month+ / preserved</v>
      </c>
      <c r="M20" t="str">
        <v>Storage apple or quince</v>
      </c>
      <c r="N20" s="2">
        <v>0.72</v>
      </c>
      <c r="O20" s="2">
        <v>0.72</v>
      </c>
      <c r="P20" s="2">
        <v>0</v>
      </c>
      <c r="Q20" s="1">
        <v>0</v>
      </c>
      <c r="R20">
        <v>0</v>
      </c>
      <c r="S20" s="2">
        <v>0</v>
      </c>
      <c r="T20" s="2">
        <v>0</v>
      </c>
      <c r="U20" s="1">
        <v>0.45</v>
      </c>
      <c r="V20" t="str">
        <v>No</v>
      </c>
      <c r="W20" s="1">
        <v>0</v>
      </c>
      <c r="X20" t="str">
        <v>No</v>
      </c>
      <c r="Y20" t="str">
        <v>REVIEW hidden / seasonal</v>
      </c>
      <c r="Z20" t="str">
        <v/>
      </c>
      <c r="AA20" t="str">
        <v/>
      </c>
    </row>
    <row r="21">
      <c r="A21" t="str">
        <v>Organically Grown Company</v>
      </c>
      <c r="B21" t="str">
        <v>Organic Fruit 🍒🍎🫐</v>
      </c>
      <c r="C21">
        <v>899377</v>
      </c>
      <c r="D21" t="str">
        <v>Granny Smith Apple (WA)</v>
      </c>
      <c r="E21">
        <v>641182</v>
      </c>
      <c r="F21" t="str">
        <v>ea</v>
      </c>
      <c r="G21" t="str">
        <v>No</v>
      </c>
      <c r="H21" s="2">
        <v>0.9</v>
      </c>
      <c r="J21" s="1">
        <v>0.45</v>
      </c>
      <c r="K21" s="1">
        <v>0.45</v>
      </c>
      <c r="L21" t="str">
        <v>1 month+ / preserved</v>
      </c>
      <c r="M21" t="str">
        <v>Storage apple or quince</v>
      </c>
      <c r="N21" s="2">
        <v>1.3</v>
      </c>
      <c r="O21" s="2">
        <v>1.3</v>
      </c>
      <c r="P21" s="2">
        <v>0</v>
      </c>
      <c r="Q21" s="1">
        <v>0</v>
      </c>
      <c r="R21">
        <v>391</v>
      </c>
      <c r="S21" s="2">
        <v>408.64</v>
      </c>
      <c r="T21" s="2">
        <v>0</v>
      </c>
      <c r="U21" s="1">
        <v>0.45</v>
      </c>
      <c r="V21" t="str">
        <v>No</v>
      </c>
      <c r="W21" s="1">
        <v>0</v>
      </c>
      <c r="X21" t="str">
        <v>No</v>
      </c>
      <c r="Y21" t="str">
        <v>REVIEW hidden / seasonal</v>
      </c>
      <c r="Z21" t="str">
        <v/>
      </c>
      <c r="AA21" t="str">
        <v/>
      </c>
    </row>
    <row r="22">
      <c r="A22" t="str">
        <v>Organically Grown Company</v>
      </c>
      <c r="B22" t="str">
        <v>Organic Fruit 🍒🍎🫐</v>
      </c>
      <c r="C22">
        <v>899379</v>
      </c>
      <c r="D22" t="str">
        <v>Honey Crisp Apple (WA)</v>
      </c>
      <c r="E22">
        <v>641205</v>
      </c>
      <c r="F22" t="str">
        <v>ea</v>
      </c>
      <c r="G22" t="str">
        <v>No</v>
      </c>
      <c r="H22" s="2">
        <v>1.75</v>
      </c>
      <c r="J22" s="1">
        <v>0.45</v>
      </c>
      <c r="K22" s="1">
        <v>0.45</v>
      </c>
      <c r="L22" t="str">
        <v>1 month+ / preserved</v>
      </c>
      <c r="M22" t="str">
        <v>Storage apple or quince</v>
      </c>
      <c r="N22" s="2">
        <v>2.54</v>
      </c>
      <c r="O22" s="2">
        <v>2.54</v>
      </c>
      <c r="P22" s="2">
        <v>0</v>
      </c>
      <c r="Q22" s="1">
        <v>0</v>
      </c>
      <c r="R22">
        <v>675</v>
      </c>
      <c r="S22" s="2">
        <v>1203.79</v>
      </c>
      <c r="T22" s="2">
        <v>0</v>
      </c>
      <c r="U22" s="1">
        <v>0.45</v>
      </c>
      <c r="V22" t="str">
        <v>No</v>
      </c>
      <c r="W22" s="1">
        <v>0</v>
      </c>
      <c r="X22" t="str">
        <v>No</v>
      </c>
      <c r="Y22" t="str">
        <v>REVIEW hidden / seasonal</v>
      </c>
      <c r="Z22" t="str">
        <v/>
      </c>
      <c r="AA22" t="str">
        <v/>
      </c>
    </row>
    <row r="23">
      <c r="A23" t="str">
        <v>Small is Beautiful Farm</v>
      </c>
      <c r="B23" t="str">
        <v>Organic Fruit 🍒🍎🫐</v>
      </c>
      <c r="C23">
        <v>836368</v>
      </c>
      <c r="D23" t="str">
        <v>Mixed Dried Fruit</v>
      </c>
      <c r="E23">
        <v>562955</v>
      </c>
      <c r="F23" t="str">
        <v>1/2 Lb. bag</v>
      </c>
      <c r="G23" t="str">
        <v>No</v>
      </c>
      <c r="H23" s="2">
        <v>7</v>
      </c>
      <c r="J23" s="1">
        <v>0.45</v>
      </c>
      <c r="K23" s="1">
        <v>0.45</v>
      </c>
      <c r="L23" t="str">
        <v>1 month+ / preserved</v>
      </c>
      <c r="M23" t="str">
        <v>Frozen, dried, or cured</v>
      </c>
      <c r="N23" s="2">
        <v>10.15</v>
      </c>
      <c r="O23" s="2">
        <v>10.15</v>
      </c>
      <c r="P23" s="2">
        <v>0</v>
      </c>
      <c r="Q23" s="1">
        <v>0</v>
      </c>
      <c r="R23">
        <v>214</v>
      </c>
      <c r="S23" s="2">
        <v>2105.6</v>
      </c>
      <c r="T23" s="2">
        <v>0</v>
      </c>
      <c r="U23" s="1">
        <v>0.45</v>
      </c>
      <c r="V23" t="str">
        <v>No</v>
      </c>
      <c r="W23" s="1">
        <v>0</v>
      </c>
      <c r="X23" t="str">
        <v>No</v>
      </c>
      <c r="Y23" t="str">
        <v>REVIEW hidden / seasonal</v>
      </c>
      <c r="Z23" t="str">
        <v/>
      </c>
      <c r="AA23" t="str">
        <v/>
      </c>
    </row>
    <row r="24">
      <c r="A24" t="str">
        <v>(missing vendor)</v>
      </c>
      <c r="B24" t="str">
        <v>Organic Fruit 🍒🍎🫐</v>
      </c>
      <c r="C24">
        <v>805771</v>
      </c>
      <c r="D24" t="str">
        <v>Cathay Bell Watermelon</v>
      </c>
      <c r="E24">
        <v>526827</v>
      </c>
      <c r="F24" t="str">
        <v>ea.</v>
      </c>
      <c r="G24" t="str">
        <v>No</v>
      </c>
      <c r="H24" s="2">
        <v>6.34</v>
      </c>
      <c r="K24" s="1">
        <v>0.6</v>
      </c>
      <c r="L24" t="str">
        <v>1 week to under 1 month</v>
      </c>
      <c r="M24" t="str">
        <v>Fresh fruit that may last weeks if handled well</v>
      </c>
      <c r="O24" s="2">
        <v>10.14</v>
      </c>
      <c r="R24">
        <v>0</v>
      </c>
      <c r="S24" s="2">
        <v>0</v>
      </c>
      <c r="V24" t="str">
        <v>No</v>
      </c>
      <c r="W24" s="1">
        <v>0</v>
      </c>
      <c r="X24" t="str">
        <v>No</v>
      </c>
      <c r="Y24" t="str">
        <v>HOLD missing vendor</v>
      </c>
      <c r="Z24" t="str">
        <v/>
      </c>
      <c r="AA24" t="str">
        <v/>
      </c>
    </row>
    <row r="25">
      <c r="A25" t="str">
        <v>(missing vendor)</v>
      </c>
      <c r="B25" t="str">
        <v>Organic Fruit 🍒🍎🫐</v>
      </c>
      <c r="C25">
        <v>805785</v>
      </c>
      <c r="D25" t="str">
        <v>d'Anjou Pear</v>
      </c>
      <c r="E25">
        <v>526841</v>
      </c>
      <c r="F25" t="str">
        <v>each</v>
      </c>
      <c r="G25" t="str">
        <v>No</v>
      </c>
      <c r="H25" s="2">
        <v>1.5</v>
      </c>
      <c r="K25" s="1">
        <v>0.6</v>
      </c>
      <c r="L25" t="str">
        <v>1 week to under 1 month</v>
      </c>
      <c r="M25" t="str">
        <v>Fresh fruit that may last weeks if handled well</v>
      </c>
      <c r="O25" s="2">
        <v>2.4</v>
      </c>
      <c r="R25">
        <v>0</v>
      </c>
      <c r="S25" s="2">
        <v>0</v>
      </c>
      <c r="V25" t="str">
        <v>No</v>
      </c>
      <c r="W25" s="1">
        <v>0</v>
      </c>
      <c r="X25" t="str">
        <v>No</v>
      </c>
      <c r="Y25" t="str">
        <v>HOLD missing vendor</v>
      </c>
      <c r="Z25" t="str">
        <v/>
      </c>
      <c r="AA25" t="str">
        <v/>
      </c>
    </row>
    <row r="26">
      <c r="A26" t="str">
        <v>Camas Swale Farm</v>
      </c>
      <c r="B26" t="str">
        <v>Organic Fruit 🍒🍎🫐</v>
      </c>
      <c r="C26">
        <v>1001422</v>
      </c>
      <c r="D26" t="str">
        <v>Natsu Cocoa watermelon</v>
      </c>
      <c r="E26">
        <v>778769</v>
      </c>
      <c r="F26" t="str">
        <v>ea</v>
      </c>
      <c r="G26" t="str">
        <v>No</v>
      </c>
      <c r="H26" s="2">
        <v>5.85</v>
      </c>
      <c r="J26" s="1">
        <v>0.45</v>
      </c>
      <c r="K26" s="1">
        <v>0.6</v>
      </c>
      <c r="L26" t="str">
        <v>1 week to under 1 month</v>
      </c>
      <c r="M26" t="str">
        <v>Fresh fruit that may last weeks if handled well</v>
      </c>
      <c r="N26" s="2">
        <v>8.48</v>
      </c>
      <c r="O26" s="2">
        <v>9.36</v>
      </c>
      <c r="P26" s="2">
        <v>0.88</v>
      </c>
      <c r="Q26" s="1">
        <v>0.10377358490566024</v>
      </c>
      <c r="R26">
        <v>0</v>
      </c>
      <c r="S26" s="2">
        <v>0</v>
      </c>
      <c r="T26" s="2">
        <v>0</v>
      </c>
      <c r="U26" s="1">
        <v>0.45</v>
      </c>
      <c r="V26" t="str">
        <v>No</v>
      </c>
      <c r="W26" s="1">
        <v>0</v>
      </c>
      <c r="X26" t="str">
        <v>No</v>
      </c>
      <c r="Y26" t="str">
        <v>REVIEW hidden / seasonal</v>
      </c>
      <c r="Z26" t="str">
        <v/>
      </c>
      <c r="AA26" t="str">
        <v/>
      </c>
    </row>
    <row r="27">
      <c r="A27" t="str">
        <v>Camas Swale Farm</v>
      </c>
      <c r="B27" t="str">
        <v>Organic Fruit 🍒🍎🫐</v>
      </c>
      <c r="C27">
        <v>812628</v>
      </c>
      <c r="D27" t="str">
        <v>Tomatillos</v>
      </c>
      <c r="E27">
        <v>534496</v>
      </c>
      <c r="F27" t="str">
        <v>pound</v>
      </c>
      <c r="G27" t="str">
        <v>No</v>
      </c>
      <c r="H27" s="2">
        <v>3.4</v>
      </c>
      <c r="J27" s="1">
        <v>0.45</v>
      </c>
      <c r="K27" s="1">
        <v>0.6</v>
      </c>
      <c r="L27" t="str">
        <v>1 week to under 1 month</v>
      </c>
      <c r="M27" t="str">
        <v>Tomatillo filed in fruit category</v>
      </c>
      <c r="N27" s="2">
        <v>4.93</v>
      </c>
      <c r="O27" s="2">
        <v>5.44</v>
      </c>
      <c r="P27" s="2">
        <v>0.51</v>
      </c>
      <c r="Q27" s="1">
        <v>0.10344827586206917</v>
      </c>
      <c r="R27">
        <v>63</v>
      </c>
      <c r="S27" s="2">
        <v>299.88</v>
      </c>
      <c r="T27" s="2">
        <v>32.13</v>
      </c>
      <c r="U27" s="1">
        <v>0.45</v>
      </c>
      <c r="V27" t="str">
        <v>No</v>
      </c>
      <c r="W27" s="1">
        <v>0</v>
      </c>
      <c r="X27" t="str">
        <v>No</v>
      </c>
      <c r="Y27" t="str">
        <v>REVIEW hidden / seasonal</v>
      </c>
      <c r="Z27" t="str">
        <v/>
      </c>
      <c r="AA27" t="str">
        <v/>
      </c>
    </row>
    <row r="28">
      <c r="A28" t="str">
        <v>Grazier's Garden</v>
      </c>
      <c r="B28" t="str">
        <v>Organic Fruit 🍒🍎🫐</v>
      </c>
      <c r="C28">
        <v>914550</v>
      </c>
      <c r="D28" t="str">
        <v>Mini Watermelon</v>
      </c>
      <c r="E28">
        <v>660245</v>
      </c>
      <c r="F28" t="str">
        <v>pound</v>
      </c>
      <c r="G28" t="str">
        <v>No</v>
      </c>
      <c r="H28" s="2">
        <v>2</v>
      </c>
      <c r="J28" s="1">
        <v>0.45</v>
      </c>
      <c r="K28" s="1">
        <v>0.6</v>
      </c>
      <c r="L28" t="str">
        <v>1 week to under 1 month</v>
      </c>
      <c r="M28" t="str">
        <v>Fresh fruit that may last weeks if handled well</v>
      </c>
      <c r="N28" s="2">
        <v>2.9</v>
      </c>
      <c r="O28" s="2">
        <v>3.2</v>
      </c>
      <c r="P28" s="2">
        <v>0.3</v>
      </c>
      <c r="Q28" s="1">
        <v>0.10344827586206895</v>
      </c>
      <c r="R28">
        <v>0</v>
      </c>
      <c r="S28" s="2">
        <v>0</v>
      </c>
      <c r="T28" s="2">
        <v>0</v>
      </c>
      <c r="U28" s="1">
        <v>0.45</v>
      </c>
      <c r="V28" t="str">
        <v>No</v>
      </c>
      <c r="W28" s="1">
        <v>0</v>
      </c>
      <c r="X28" t="str">
        <v>No</v>
      </c>
      <c r="Y28" t="str">
        <v>REVIEW hidden / seasonal</v>
      </c>
      <c r="Z28" t="str">
        <v/>
      </c>
      <c r="AA28" t="str">
        <v/>
      </c>
    </row>
    <row r="29">
      <c r="A29" t="str">
        <v>Small is Beautiful Farm</v>
      </c>
      <c r="B29" t="str">
        <v>Organic Fruit 🍒🍎🫐</v>
      </c>
      <c r="C29">
        <v>805790</v>
      </c>
      <c r="D29" t="str">
        <v>Mixed Apple "Seconds"</v>
      </c>
      <c r="E29">
        <v>526846</v>
      </c>
      <c r="F29" t="str">
        <v>each</v>
      </c>
      <c r="G29" t="str">
        <v>Yes</v>
      </c>
      <c r="H29" s="2">
        <v>0.5</v>
      </c>
      <c r="J29" s="1">
        <v>0.45</v>
      </c>
      <c r="K29" s="1">
        <v>0.6</v>
      </c>
      <c r="L29" t="str">
        <v>1 week to under 1 month</v>
      </c>
      <c r="M29" t="str">
        <v>Blemished apples; shorter marketable life than sound storage fruit</v>
      </c>
      <c r="N29" s="2">
        <v>0.72</v>
      </c>
      <c r="O29" s="2">
        <v>0.8</v>
      </c>
      <c r="P29" s="2">
        <v>0.08</v>
      </c>
      <c r="Q29" s="1">
        <v>0.11111111111111116</v>
      </c>
      <c r="R29">
        <v>158</v>
      </c>
      <c r="S29" s="2">
        <v>111.16</v>
      </c>
      <c r="T29" s="2">
        <v>12.64</v>
      </c>
      <c r="U29" s="1">
        <v>0.45</v>
      </c>
      <c r="V29" t="str">
        <v>No</v>
      </c>
      <c r="W29" s="1">
        <v>0</v>
      </c>
      <c r="X29" t="str">
        <v>No</v>
      </c>
      <c r="Y29" t="str">
        <v>Candidate</v>
      </c>
      <c r="Z29" t="str">
        <v/>
      </c>
      <c r="AA29" t="str">
        <v/>
      </c>
    </row>
    <row r="30">
      <c r="A30" t="str">
        <v>Small is Beautiful Farm</v>
      </c>
      <c r="B30" t="str">
        <v>Organic Fruit 🍒🍎🫐</v>
      </c>
      <c r="C30">
        <v>821118</v>
      </c>
      <c r="D30" t="str">
        <v>Persimmon</v>
      </c>
      <c r="E30">
        <v>544095</v>
      </c>
      <c r="F30" t="str">
        <v>ea</v>
      </c>
      <c r="G30" t="str">
        <v>No</v>
      </c>
      <c r="H30" s="2">
        <v>1.5</v>
      </c>
      <c r="J30" s="1">
        <v>0.45</v>
      </c>
      <c r="K30" s="1">
        <v>0.6</v>
      </c>
      <c r="L30" t="str">
        <v>1 week to under 1 month</v>
      </c>
      <c r="M30" t="str">
        <v>Fresh fruit that may last weeks if handled well</v>
      </c>
      <c r="N30" s="2">
        <v>2.17</v>
      </c>
      <c r="O30" s="2">
        <v>2.4</v>
      </c>
      <c r="P30" s="2">
        <v>0.23</v>
      </c>
      <c r="Q30" s="1">
        <v>0.10599078341013835</v>
      </c>
      <c r="R30">
        <v>0</v>
      </c>
      <c r="S30" s="2">
        <v>0</v>
      </c>
      <c r="T30" s="2">
        <v>0</v>
      </c>
      <c r="U30" s="1">
        <v>0.45</v>
      </c>
      <c r="V30" t="str">
        <v>No</v>
      </c>
      <c r="W30" s="1">
        <v>0</v>
      </c>
      <c r="X30" t="str">
        <v>No</v>
      </c>
      <c r="Y30" t="str">
        <v>REVIEW hidden / seasonal</v>
      </c>
      <c r="Z30" t="str">
        <v/>
      </c>
      <c r="AA30" t="str">
        <v/>
      </c>
    </row>
    <row r="31">
      <c r="A31" t="str">
        <v>(missing vendor)</v>
      </c>
      <c r="B31" t="str">
        <v>Organic Fruit 🍒🍎🫐</v>
      </c>
      <c r="C31">
        <v>805797</v>
      </c>
      <c r="D31" t="str">
        <v>Flat, Strawberries</v>
      </c>
      <c r="E31">
        <v>526853</v>
      </c>
      <c r="F31" t="str">
        <v>each</v>
      </c>
      <c r="G31" t="str">
        <v>No</v>
      </c>
      <c r="H31" s="2">
        <v>58.25</v>
      </c>
      <c r="K31" s="1">
        <v>1</v>
      </c>
      <c r="L31" t="str">
        <v>Under 1 week / high loss</v>
      </c>
      <c r="M31" t="str">
        <v>Fresh fruit; review ripeness and cold chain</v>
      </c>
      <c r="O31" s="2">
        <v>116.5</v>
      </c>
      <c r="R31">
        <v>0</v>
      </c>
      <c r="S31" s="2">
        <v>0</v>
      </c>
      <c r="V31" t="str">
        <v>No</v>
      </c>
      <c r="W31" s="1">
        <v>0</v>
      </c>
      <c r="X31" t="str">
        <v>No</v>
      </c>
      <c r="Y31" t="str">
        <v>HOLD missing vendor</v>
      </c>
      <c r="Z31" t="str">
        <v/>
      </c>
      <c r="AA31" t="str">
        <v/>
      </c>
    </row>
    <row r="32">
      <c r="A32" t="str">
        <v>(missing vendor)</v>
      </c>
      <c r="B32" t="str">
        <v>Organic Fruit 🍒🍎🫐</v>
      </c>
      <c r="C32">
        <v>805770</v>
      </c>
      <c r="D32" t="str">
        <v>Fuzzy Kiwis</v>
      </c>
      <c r="E32">
        <v>526826</v>
      </c>
      <c r="F32" t="str">
        <v>each</v>
      </c>
      <c r="G32" t="str">
        <v>No</v>
      </c>
      <c r="H32" s="2">
        <v>1.75</v>
      </c>
      <c r="K32" s="1">
        <v>1</v>
      </c>
      <c r="L32" t="str">
        <v>Under 1 week / high loss</v>
      </c>
      <c r="M32" t="str">
        <v>Fresh fruit; review ripeness and cold chain</v>
      </c>
      <c r="O32" s="2">
        <v>3.5</v>
      </c>
      <c r="R32">
        <v>0</v>
      </c>
      <c r="S32" s="2">
        <v>0</v>
      </c>
      <c r="V32" t="str">
        <v>No</v>
      </c>
      <c r="W32" s="1">
        <v>0</v>
      </c>
      <c r="X32" t="str">
        <v>No</v>
      </c>
      <c r="Y32" t="str">
        <v>HOLD missing vendor</v>
      </c>
      <c r="Z32" t="str">
        <v/>
      </c>
      <c r="AA32" t="str">
        <v/>
      </c>
    </row>
    <row r="33">
      <c r="A33" t="str">
        <v>(missing vendor)</v>
      </c>
      <c r="B33" t="str">
        <v>Organic Fruit 🍒🍎🫐</v>
      </c>
      <c r="C33">
        <v>812652</v>
      </c>
      <c r="D33" t="str">
        <v>Green and Red Mixed Grapes</v>
      </c>
      <c r="E33">
        <v>534520</v>
      </c>
      <c r="F33" t="str">
        <v>pt</v>
      </c>
      <c r="G33" t="str">
        <v>No</v>
      </c>
      <c r="H33" s="2">
        <v>3</v>
      </c>
      <c r="K33" s="1">
        <v>1</v>
      </c>
      <c r="L33" t="str">
        <v>Under 1 week / high loss</v>
      </c>
      <c r="M33" t="str">
        <v>Fresh fruit; review ripeness and cold chain</v>
      </c>
      <c r="O33" s="2">
        <v>6</v>
      </c>
      <c r="R33">
        <v>0</v>
      </c>
      <c r="S33" s="2">
        <v>0</v>
      </c>
      <c r="V33" t="str">
        <v>No</v>
      </c>
      <c r="W33" s="1">
        <v>0</v>
      </c>
      <c r="X33" t="str">
        <v>No</v>
      </c>
      <c r="Y33" t="str">
        <v>HOLD missing vendor</v>
      </c>
      <c r="Z33" t="str">
        <v/>
      </c>
      <c r="AA33" t="str">
        <v/>
      </c>
    </row>
    <row r="34">
      <c r="A34" t="str">
        <v>(missing vendor)</v>
      </c>
      <c r="B34" t="str">
        <v>Organic Fruit 🍒🍎🫐</v>
      </c>
      <c r="C34">
        <v>805788</v>
      </c>
      <c r="D34" t="str">
        <v>Green Grapes</v>
      </c>
      <c r="E34">
        <v>526844</v>
      </c>
      <c r="F34" t="str">
        <v>each</v>
      </c>
      <c r="G34" t="str">
        <v>No</v>
      </c>
      <c r="H34" s="2">
        <v>4.25</v>
      </c>
      <c r="K34" s="1">
        <v>1</v>
      </c>
      <c r="L34" t="str">
        <v>Under 1 week / high loss</v>
      </c>
      <c r="M34" t="str">
        <v>Fresh fruit; review ripeness and cold chain</v>
      </c>
      <c r="O34" s="2">
        <v>8.5</v>
      </c>
      <c r="R34">
        <v>0</v>
      </c>
      <c r="S34" s="2">
        <v>0</v>
      </c>
      <c r="V34" t="str">
        <v>No</v>
      </c>
      <c r="W34" s="1">
        <v>0</v>
      </c>
      <c r="X34" t="str">
        <v>No</v>
      </c>
      <c r="Y34" t="str">
        <v>HOLD missing vendor</v>
      </c>
      <c r="Z34" t="str">
        <v/>
      </c>
      <c r="AA34" t="str">
        <v/>
      </c>
    </row>
    <row r="35">
      <c r="A35" t="str">
        <v>Camas Swale Farm</v>
      </c>
      <c r="B35" t="str">
        <v>Organic Fruit 🍒🍎🫐</v>
      </c>
      <c r="C35">
        <v>805768</v>
      </c>
      <c r="D35" t="str">
        <v>Canary Melon</v>
      </c>
      <c r="E35">
        <v>526824</v>
      </c>
      <c r="F35" t="str">
        <v>each</v>
      </c>
      <c r="G35" t="str">
        <v>No</v>
      </c>
      <c r="H35" s="2">
        <v>3</v>
      </c>
      <c r="J35" s="1">
        <v>0.45</v>
      </c>
      <c r="K35" s="1">
        <v>1</v>
      </c>
      <c r="L35" t="str">
        <v>Under 1 week / high loss</v>
      </c>
      <c r="M35" t="str">
        <v>Fresh fruit; review ripeness and cold chain</v>
      </c>
      <c r="N35" s="2">
        <v>4.35</v>
      </c>
      <c r="O35" s="2">
        <v>6</v>
      </c>
      <c r="P35" s="2">
        <v>1.65</v>
      </c>
      <c r="Q35" s="1">
        <v>0.3793103448275863</v>
      </c>
      <c r="R35">
        <v>91</v>
      </c>
      <c r="S35" s="2">
        <v>382.2</v>
      </c>
      <c r="T35" s="2">
        <v>150.15</v>
      </c>
      <c r="U35" s="1">
        <v>0.45</v>
      </c>
      <c r="V35" t="str">
        <v>No</v>
      </c>
      <c r="W35" s="1">
        <v>0</v>
      </c>
      <c r="X35" t="str">
        <v>No</v>
      </c>
      <c r="Y35" t="str">
        <v>REVIEW hidden / seasonal</v>
      </c>
      <c r="Z35" t="str">
        <v/>
      </c>
      <c r="AA35" t="str">
        <v/>
      </c>
    </row>
    <row r="36">
      <c r="A36" t="str">
        <v>Full Farm CSA</v>
      </c>
      <c r="B36" t="str">
        <v>Organic Fruit 🍒🍎🫐</v>
      </c>
      <c r="C36">
        <v>890302</v>
      </c>
      <c r="D36" t="str">
        <v>Blueberries</v>
      </c>
      <c r="E36">
        <v>629769</v>
      </c>
      <c r="F36" t="str">
        <v>1 pint</v>
      </c>
      <c r="G36" t="str">
        <v>No</v>
      </c>
      <c r="H36" s="2">
        <v>4</v>
      </c>
      <c r="J36" s="1">
        <v>0.45</v>
      </c>
      <c r="K36" s="1">
        <v>1</v>
      </c>
      <c r="L36" t="str">
        <v>Under 1 week / high loss</v>
      </c>
      <c r="M36" t="str">
        <v>Fresh fruit; review ripeness and cold chain</v>
      </c>
      <c r="N36" s="2">
        <v>5.8</v>
      </c>
      <c r="O36" s="2">
        <v>8</v>
      </c>
      <c r="P36" s="2">
        <v>2.2</v>
      </c>
      <c r="Q36" s="1">
        <v>0.3793103448275863</v>
      </c>
      <c r="R36">
        <v>169</v>
      </c>
      <c r="S36" s="2">
        <v>1022</v>
      </c>
      <c r="T36" s="2">
        <v>371.8</v>
      </c>
      <c r="U36" s="1">
        <v>0.45</v>
      </c>
      <c r="V36" t="str">
        <v>No</v>
      </c>
      <c r="W36" s="1">
        <v>0</v>
      </c>
      <c r="X36" t="str">
        <v>No</v>
      </c>
      <c r="Y36" t="str">
        <v>REVIEW hidden / seasonal</v>
      </c>
      <c r="Z36" t="str">
        <v/>
      </c>
      <c r="AA36" t="str">
        <v/>
      </c>
    </row>
    <row r="37">
      <c r="A37" t="str">
        <v>Grazier's Garden</v>
      </c>
      <c r="B37" t="str">
        <v>Organic Fruit 🍒🍎🫐</v>
      </c>
      <c r="C37">
        <v>981788</v>
      </c>
      <c r="D37" t="str">
        <v>Fresh Cherries</v>
      </c>
      <c r="E37">
        <v>750321</v>
      </c>
      <c r="F37" t="str">
        <v>1 pint</v>
      </c>
      <c r="G37" t="str">
        <v>No</v>
      </c>
      <c r="H37" s="2">
        <v>4.5</v>
      </c>
      <c r="J37" s="1">
        <v>0.45</v>
      </c>
      <c r="K37" s="1">
        <v>1</v>
      </c>
      <c r="L37" t="str">
        <v>Under 1 week / high loss</v>
      </c>
      <c r="M37" t="str">
        <v>Fresh fruit; review ripeness and cold chain</v>
      </c>
      <c r="N37" s="2">
        <v>6.52</v>
      </c>
      <c r="O37" s="2">
        <v>9</v>
      </c>
      <c r="P37" s="2">
        <v>2.48</v>
      </c>
      <c r="Q37" s="1">
        <v>0.3803680981595092</v>
      </c>
      <c r="R37">
        <v>24</v>
      </c>
      <c r="S37" s="2">
        <v>151.2</v>
      </c>
      <c r="T37" s="2">
        <v>59.52</v>
      </c>
      <c r="U37" s="1">
        <v>0.45</v>
      </c>
      <c r="V37" t="str">
        <v>No</v>
      </c>
      <c r="W37" s="1">
        <v>0</v>
      </c>
      <c r="X37" t="str">
        <v>No</v>
      </c>
      <c r="Y37" t="str">
        <v>REVIEW hidden / seasonal</v>
      </c>
      <c r="Z37" t="str">
        <v/>
      </c>
      <c r="AA37" t="str">
        <v/>
      </c>
    </row>
    <row r="38">
      <c r="A38" t="str">
        <v>Grazier's Garden</v>
      </c>
      <c r="B38" t="str">
        <v>Organic Fruit 🍒🍎🫐</v>
      </c>
      <c r="C38">
        <v>995529</v>
      </c>
      <c r="D38" t="str">
        <v>Fresh Strawberries</v>
      </c>
      <c r="E38">
        <v>769872</v>
      </c>
      <c r="F38" t="str">
        <v>each</v>
      </c>
      <c r="G38" t="str">
        <v>No</v>
      </c>
      <c r="H38" s="2">
        <v>1.75</v>
      </c>
      <c r="J38" s="1">
        <v>0.45</v>
      </c>
      <c r="K38" s="1">
        <v>1</v>
      </c>
      <c r="L38" t="str">
        <v>Under 1 week / high loss</v>
      </c>
      <c r="M38" t="str">
        <v>Fresh fruit; review ripeness and cold chain</v>
      </c>
      <c r="N38" s="2">
        <v>2.54</v>
      </c>
      <c r="O38" s="2">
        <v>3.5</v>
      </c>
      <c r="P38" s="2">
        <v>0.96</v>
      </c>
      <c r="Q38" s="1">
        <v>0.3779527559055118</v>
      </c>
      <c r="R38">
        <v>0</v>
      </c>
      <c r="S38" s="2">
        <v>0</v>
      </c>
      <c r="T38" s="2">
        <v>0</v>
      </c>
      <c r="U38" s="1">
        <v>0.45</v>
      </c>
      <c r="V38" t="str">
        <v>No</v>
      </c>
      <c r="W38" s="1">
        <v>0</v>
      </c>
      <c r="X38" t="str">
        <v>No</v>
      </c>
      <c r="Y38" t="str">
        <v>REVIEW hidden / seasonal</v>
      </c>
      <c r="Z38" t="str">
        <v/>
      </c>
      <c r="AA38" t="str">
        <v/>
      </c>
    </row>
    <row r="39">
      <c r="A39" t="str">
        <v>Grazier's Garden</v>
      </c>
      <c r="B39" t="str">
        <v>Organic Fruit 🍒🍎🫐</v>
      </c>
      <c r="C39">
        <v>805757</v>
      </c>
      <c r="D39" t="str">
        <v>Honeydew Melon</v>
      </c>
      <c r="E39">
        <v>526812</v>
      </c>
      <c r="F39" t="str">
        <v>each</v>
      </c>
      <c r="G39" t="str">
        <v>No</v>
      </c>
      <c r="H39" s="2">
        <v>6.65</v>
      </c>
      <c r="J39" s="1">
        <v>0.45</v>
      </c>
      <c r="K39" s="1">
        <v>1</v>
      </c>
      <c r="L39" t="str">
        <v>Under 1 week / high loss</v>
      </c>
      <c r="M39" t="str">
        <v>Fresh fruit; review ripeness and cold chain</v>
      </c>
      <c r="N39" s="2">
        <v>9.64</v>
      </c>
      <c r="O39" s="2">
        <v>13.3</v>
      </c>
      <c r="P39" s="2">
        <v>3.66</v>
      </c>
      <c r="Q39" s="1">
        <v>0.3796680497925311</v>
      </c>
      <c r="R39">
        <v>0</v>
      </c>
      <c r="S39" s="2">
        <v>0</v>
      </c>
      <c r="T39" s="2">
        <v>0</v>
      </c>
      <c r="U39" s="1">
        <v>0.45</v>
      </c>
      <c r="V39" t="str">
        <v>No</v>
      </c>
      <c r="W39" s="1">
        <v>0</v>
      </c>
      <c r="X39" t="str">
        <v>No</v>
      </c>
      <c r="Y39" t="str">
        <v>REVIEW hidden / seasonal</v>
      </c>
      <c r="Z39" t="str">
        <v/>
      </c>
      <c r="AA39" t="str">
        <v/>
      </c>
    </row>
    <row r="40">
      <c r="A40" t="str">
        <v>Little Wings</v>
      </c>
      <c r="B40" t="str">
        <v>Organic Fruit 🍒🍎🫐</v>
      </c>
      <c r="C40">
        <v>805755</v>
      </c>
      <c r="D40" t="str">
        <v>Striped Eggplant</v>
      </c>
      <c r="E40">
        <v>526810</v>
      </c>
      <c r="F40" t="str">
        <v>1 lb</v>
      </c>
      <c r="G40" t="str">
        <v>No</v>
      </c>
      <c r="H40" s="2">
        <v>3</v>
      </c>
      <c r="J40" s="1">
        <v>0.45</v>
      </c>
      <c r="K40" s="1">
        <v>1</v>
      </c>
      <c r="L40" t="str">
        <v>Under 1 week / high loss</v>
      </c>
      <c r="M40" t="str">
        <v>Eggplant filed in fruit category</v>
      </c>
      <c r="N40" s="2">
        <v>4.35</v>
      </c>
      <c r="O40" s="2">
        <v>6</v>
      </c>
      <c r="P40" s="2">
        <v>1.65</v>
      </c>
      <c r="Q40" s="1">
        <v>0.3793103448275863</v>
      </c>
      <c r="R40">
        <v>78</v>
      </c>
      <c r="S40" s="2">
        <v>327.6</v>
      </c>
      <c r="T40" s="2">
        <v>128.7</v>
      </c>
      <c r="U40" s="1">
        <v>0.45</v>
      </c>
      <c r="V40" t="str">
        <v>No</v>
      </c>
      <c r="W40" s="1">
        <v>0</v>
      </c>
      <c r="X40" t="str">
        <v>No</v>
      </c>
      <c r="Y40" t="str">
        <v>REVIEW hidden / seasonal</v>
      </c>
      <c r="Z40" t="str">
        <v/>
      </c>
      <c r="AA40" t="str">
        <v/>
      </c>
    </row>
    <row r="41">
      <c r="A41" t="str">
        <v>Organically Grown Company</v>
      </c>
      <c r="B41" t="str">
        <v>Organic Fruit 🍒🍎🫐</v>
      </c>
      <c r="C41">
        <v>805772</v>
      </c>
      <c r="D41" t="str">
        <v>Blackberries</v>
      </c>
      <c r="E41">
        <v>526828</v>
      </c>
      <c r="F41" t="str">
        <v>1/2  pt</v>
      </c>
      <c r="G41" t="str">
        <v>No</v>
      </c>
      <c r="H41" s="2">
        <v>4.75</v>
      </c>
      <c r="J41" s="1">
        <v>0.45</v>
      </c>
      <c r="K41" s="1">
        <v>1</v>
      </c>
      <c r="L41" t="str">
        <v>Under 1 week / high loss</v>
      </c>
      <c r="M41" t="str">
        <v>Fresh fruit; review ripeness and cold chain</v>
      </c>
      <c r="N41" s="2">
        <v>6.89</v>
      </c>
      <c r="O41" s="2">
        <v>9.5</v>
      </c>
      <c r="P41" s="2">
        <v>2.61</v>
      </c>
      <c r="Q41" s="1">
        <v>0.3788098693759072</v>
      </c>
      <c r="R41">
        <v>148</v>
      </c>
      <c r="S41" s="2">
        <v>931.56</v>
      </c>
      <c r="T41" s="2">
        <v>386.28</v>
      </c>
      <c r="U41" s="1">
        <v>0.45</v>
      </c>
      <c r="V41" t="str">
        <v>No</v>
      </c>
      <c r="W41" s="1">
        <v>0</v>
      </c>
      <c r="X41" t="str">
        <v>No</v>
      </c>
      <c r="Y41" t="str">
        <v>REVIEW hidden / seasonal</v>
      </c>
      <c r="Z41" t="str">
        <v/>
      </c>
      <c r="AA41" t="str">
        <v/>
      </c>
    </row>
    <row r="42">
      <c r="A42" t="str">
        <v>Organically Grown Company</v>
      </c>
      <c r="B42" t="str">
        <v>Organic Fruit 🍒🍎🫐</v>
      </c>
      <c r="C42">
        <v>805769</v>
      </c>
      <c r="D42" t="str">
        <v>Cantaloupe</v>
      </c>
      <c r="E42">
        <v>526825</v>
      </c>
      <c r="F42" t="str">
        <v>each</v>
      </c>
      <c r="G42" t="str">
        <v>No</v>
      </c>
      <c r="H42" s="2">
        <v>4.75</v>
      </c>
      <c r="J42" s="1">
        <v>0.45</v>
      </c>
      <c r="K42" s="1">
        <v>1</v>
      </c>
      <c r="L42" t="str">
        <v>Under 1 week / high loss</v>
      </c>
      <c r="M42" t="str">
        <v>Fresh fruit; review ripeness and cold chain</v>
      </c>
      <c r="N42" s="2">
        <v>6.89</v>
      </c>
      <c r="O42" s="2">
        <v>9.5</v>
      </c>
      <c r="P42" s="2">
        <v>2.61</v>
      </c>
      <c r="Q42" s="1">
        <v>0.3788098693759072</v>
      </c>
      <c r="R42">
        <v>64</v>
      </c>
      <c r="S42" s="2">
        <v>425.6</v>
      </c>
      <c r="T42" s="2">
        <v>167.04</v>
      </c>
      <c r="U42" s="1">
        <v>0.45</v>
      </c>
      <c r="V42" t="str">
        <v>No</v>
      </c>
      <c r="W42" s="1">
        <v>0</v>
      </c>
      <c r="X42" t="str">
        <v>No</v>
      </c>
      <c r="Y42" t="str">
        <v>REVIEW hidden / seasonal</v>
      </c>
      <c r="Z42" t="str">
        <v/>
      </c>
      <c r="AA42" t="str">
        <v/>
      </c>
    </row>
    <row r="43">
      <c r="A43" t="str">
        <v>Organically Grown Company</v>
      </c>
      <c r="B43" t="str">
        <v>Organic Fruit 🍒🍎🫐</v>
      </c>
      <c r="C43">
        <v>883831</v>
      </c>
      <c r="D43" t="str">
        <v>Cherries (WA)</v>
      </c>
      <c r="E43">
        <v>621083</v>
      </c>
      <c r="F43" t="str">
        <v>1.5 lb. bag</v>
      </c>
      <c r="G43" t="str">
        <v>No</v>
      </c>
      <c r="H43" s="2">
        <v>6.9</v>
      </c>
      <c r="J43" s="1">
        <v>0.45</v>
      </c>
      <c r="K43" s="1">
        <v>1</v>
      </c>
      <c r="L43" t="str">
        <v>Under 1 week / high loss</v>
      </c>
      <c r="M43" t="str">
        <v>Fresh fruit; review ripeness and cold chain</v>
      </c>
      <c r="N43" s="2">
        <v>10.01</v>
      </c>
      <c r="O43" s="2">
        <v>13.8</v>
      </c>
      <c r="P43" s="2">
        <v>3.79</v>
      </c>
      <c r="Q43" s="1">
        <v>0.3786213786213788</v>
      </c>
      <c r="R43">
        <v>0</v>
      </c>
      <c r="S43" s="2">
        <v>0</v>
      </c>
      <c r="T43" s="2">
        <v>0</v>
      </c>
      <c r="U43" s="1">
        <v>0.45</v>
      </c>
      <c r="V43" t="str">
        <v>No</v>
      </c>
      <c r="W43" s="1">
        <v>0</v>
      </c>
      <c r="X43" t="str">
        <v>No</v>
      </c>
      <c r="Y43" t="str">
        <v>REVIEW hidden / seasonal</v>
      </c>
      <c r="Z43" t="str">
        <v/>
      </c>
      <c r="AA43" t="str">
        <v/>
      </c>
    </row>
    <row r="44">
      <c r="A44" t="str">
        <v>Organically Grown Company</v>
      </c>
      <c r="B44" t="str">
        <v>Organic Fruit 🍒🍎🫐</v>
      </c>
      <c r="C44">
        <v>987076</v>
      </c>
      <c r="D44" t="str">
        <v>Gold Raspberries</v>
      </c>
      <c r="E44">
        <v>757754</v>
      </c>
      <c r="F44" t="str">
        <v>1/2 pt</v>
      </c>
      <c r="G44" t="str">
        <v>No</v>
      </c>
      <c r="H44" s="2">
        <v>4.32</v>
      </c>
      <c r="J44" s="1">
        <v>0.45</v>
      </c>
      <c r="K44" s="1">
        <v>1</v>
      </c>
      <c r="L44" t="str">
        <v>Under 1 week / high loss</v>
      </c>
      <c r="M44" t="str">
        <v>Fresh fruit; review ripeness and cold chain</v>
      </c>
      <c r="N44" s="2">
        <v>6.26</v>
      </c>
      <c r="O44" s="2">
        <v>8.64</v>
      </c>
      <c r="P44" s="2">
        <v>2.38</v>
      </c>
      <c r="Q44" s="1">
        <v>0.380191693290735</v>
      </c>
      <c r="R44">
        <v>0</v>
      </c>
      <c r="S44" s="2">
        <v>0</v>
      </c>
      <c r="T44" s="2">
        <v>0</v>
      </c>
      <c r="U44" s="1">
        <v>0.45</v>
      </c>
      <c r="V44" t="str">
        <v>No</v>
      </c>
      <c r="W44" s="1">
        <v>0</v>
      </c>
      <c r="X44" t="str">
        <v>No</v>
      </c>
      <c r="Y44" t="str">
        <v>REVIEW hidden / seasonal</v>
      </c>
      <c r="Z44" t="str">
        <v/>
      </c>
      <c r="AA44" t="str">
        <v/>
      </c>
    </row>
    <row r="45">
      <c r="A45" t="str">
        <v>Organically Grown Company</v>
      </c>
      <c r="B45" t="str">
        <v>Organic Fruit 🍒🍎🫐</v>
      </c>
      <c r="C45">
        <v>1003371</v>
      </c>
      <c r="D45" t="str">
        <v>Red Bartlett Pears</v>
      </c>
      <c r="E45">
        <v>782715</v>
      </c>
      <c r="F45" t="str">
        <v>ea</v>
      </c>
      <c r="G45" t="str">
        <v>No</v>
      </c>
      <c r="H45" s="2">
        <v>1</v>
      </c>
      <c r="J45" s="1">
        <v>0.45</v>
      </c>
      <c r="K45" s="1">
        <v>1</v>
      </c>
      <c r="L45" t="str">
        <v>Under 1 week / high loss</v>
      </c>
      <c r="M45" t="str">
        <v>Fresh fruit; review ripeness and cold chain</v>
      </c>
      <c r="N45" s="2">
        <v>1.45</v>
      </c>
      <c r="O45" s="2">
        <v>2</v>
      </c>
      <c r="P45" s="2">
        <v>0.55</v>
      </c>
      <c r="Q45" s="1">
        <v>0.3793103448275863</v>
      </c>
      <c r="R45">
        <v>17</v>
      </c>
      <c r="S45" s="2">
        <v>23.8</v>
      </c>
      <c r="T45" s="2">
        <v>9.35</v>
      </c>
      <c r="U45" s="1">
        <v>0.45</v>
      </c>
      <c r="V45" t="str">
        <v>No</v>
      </c>
      <c r="W45" s="1">
        <v>0</v>
      </c>
      <c r="X45" t="str">
        <v>No</v>
      </c>
      <c r="Y45" t="str">
        <v>REVIEW hidden / seasonal</v>
      </c>
      <c r="Z45" t="str">
        <v/>
      </c>
      <c r="AA45" t="str">
        <v/>
      </c>
    </row>
    <row r="46">
      <c r="A46" t="str">
        <v>Organically Grown Company</v>
      </c>
      <c r="B46" t="str">
        <v>Organic Fruit 🍒🍎🫐</v>
      </c>
      <c r="C46">
        <v>987077</v>
      </c>
      <c r="D46" t="str">
        <v>Red Currant Berries</v>
      </c>
      <c r="E46">
        <v>757755</v>
      </c>
      <c r="F46" t="str">
        <v>1/2 pt</v>
      </c>
      <c r="G46" t="str">
        <v>No</v>
      </c>
      <c r="H46" s="2">
        <v>4.59</v>
      </c>
      <c r="J46" s="1">
        <v>0.45</v>
      </c>
      <c r="K46" s="1">
        <v>1</v>
      </c>
      <c r="L46" t="str">
        <v>Under 1 week / high loss</v>
      </c>
      <c r="M46" t="str">
        <v>Fresh fruit; review ripeness and cold chain</v>
      </c>
      <c r="N46" s="2">
        <v>6.66</v>
      </c>
      <c r="O46" s="2">
        <v>9.18</v>
      </c>
      <c r="P46" s="2">
        <v>2.52</v>
      </c>
      <c r="Q46" s="1">
        <v>0.3783783783783783</v>
      </c>
      <c r="R46">
        <v>0</v>
      </c>
      <c r="S46" s="2">
        <v>0</v>
      </c>
      <c r="T46" s="2">
        <v>0</v>
      </c>
      <c r="U46" s="1">
        <v>0.45</v>
      </c>
      <c r="V46" t="str">
        <v>No</v>
      </c>
      <c r="W46" s="1">
        <v>0</v>
      </c>
      <c r="X46" t="str">
        <v>No</v>
      </c>
      <c r="Y46" t="str">
        <v>REVIEW hidden / seasonal</v>
      </c>
      <c r="Z46" t="str">
        <v/>
      </c>
      <c r="AA46" t="str">
        <v/>
      </c>
    </row>
    <row r="47">
      <c r="A47" t="str">
        <v>Organically Grown Company</v>
      </c>
      <c r="B47" t="str">
        <v>Organic Fruit 🍒🍎🫐</v>
      </c>
      <c r="C47">
        <v>805781</v>
      </c>
      <c r="D47" t="str">
        <v>Red D'Anjou Pears</v>
      </c>
      <c r="E47">
        <v>526837</v>
      </c>
      <c r="F47" t="str">
        <v>each</v>
      </c>
      <c r="G47" t="str">
        <v>No</v>
      </c>
      <c r="H47" s="2">
        <v>1</v>
      </c>
      <c r="J47" s="1">
        <v>0.45</v>
      </c>
      <c r="K47" s="1">
        <v>1</v>
      </c>
      <c r="L47" t="str">
        <v>Under 1 week / high loss</v>
      </c>
      <c r="M47" t="str">
        <v>Fresh fruit; review ripeness and cold chain</v>
      </c>
      <c r="N47" s="2">
        <v>1.45</v>
      </c>
      <c r="O47" s="2">
        <v>2</v>
      </c>
      <c r="P47" s="2">
        <v>0.55</v>
      </c>
      <c r="Q47" s="1">
        <v>0.3793103448275863</v>
      </c>
      <c r="R47">
        <v>1072</v>
      </c>
      <c r="S47" s="2">
        <v>1504.25</v>
      </c>
      <c r="T47" s="2">
        <v>589.6</v>
      </c>
      <c r="U47" s="1">
        <v>0.45</v>
      </c>
      <c r="V47" t="str">
        <v>No</v>
      </c>
      <c r="W47" s="1">
        <v>0</v>
      </c>
      <c r="X47" t="str">
        <v>No</v>
      </c>
      <c r="Y47" t="str">
        <v>REVIEW hidden / seasonal</v>
      </c>
      <c r="Z47" t="str">
        <v/>
      </c>
      <c r="AA47" t="str">
        <v/>
      </c>
    </row>
    <row r="48">
      <c r="A48" t="str">
        <v>Organically Grown Company</v>
      </c>
      <c r="B48" t="str">
        <v>Organic Fruit 🍒🍎🫐</v>
      </c>
      <c r="C48">
        <v>805782</v>
      </c>
      <c r="D48" t="str">
        <v>Red Raspberries</v>
      </c>
      <c r="E48">
        <v>526838</v>
      </c>
      <c r="F48" t="str">
        <v>1/2 pt</v>
      </c>
      <c r="G48" t="str">
        <v>No</v>
      </c>
      <c r="H48" s="2">
        <v>4.75</v>
      </c>
      <c r="J48" s="1">
        <v>0.45</v>
      </c>
      <c r="K48" s="1">
        <v>1</v>
      </c>
      <c r="L48" t="str">
        <v>Under 1 week / high loss</v>
      </c>
      <c r="M48" t="str">
        <v>Fresh fruit; review ripeness and cold chain</v>
      </c>
      <c r="N48" s="2">
        <v>6.89</v>
      </c>
      <c r="O48" s="2">
        <v>9.5</v>
      </c>
      <c r="P48" s="2">
        <v>2.61</v>
      </c>
      <c r="Q48" s="1">
        <v>0.3788098693759072</v>
      </c>
      <c r="R48">
        <v>72</v>
      </c>
      <c r="S48" s="2">
        <v>478.8</v>
      </c>
      <c r="T48" s="2">
        <v>187.92</v>
      </c>
      <c r="U48" s="1">
        <v>0.45</v>
      </c>
      <c r="V48" t="str">
        <v>No</v>
      </c>
      <c r="W48" s="1">
        <v>0</v>
      </c>
      <c r="X48" t="str">
        <v>No</v>
      </c>
      <c r="Y48" t="str">
        <v>REVIEW hidden / seasonal</v>
      </c>
      <c r="Z48" t="str">
        <v/>
      </c>
      <c r="AA48" t="str">
        <v/>
      </c>
    </row>
    <row r="49">
      <c r="A49" t="str">
        <v>Small is Beautiful Farm</v>
      </c>
      <c r="B49" t="str">
        <v>Organic Fruit 🍒🍎🫐</v>
      </c>
      <c r="C49">
        <v>901471</v>
      </c>
      <c r="D49" t="str">
        <v>Bartlett Pears</v>
      </c>
      <c r="E49">
        <v>643754</v>
      </c>
      <c r="F49" t="str">
        <v>ea</v>
      </c>
      <c r="G49" t="str">
        <v>No</v>
      </c>
      <c r="H49" s="2">
        <v>1</v>
      </c>
      <c r="J49" s="1">
        <v>0.45</v>
      </c>
      <c r="K49" s="1">
        <v>1</v>
      </c>
      <c r="L49" t="str">
        <v>Under 1 week / high loss</v>
      </c>
      <c r="M49" t="str">
        <v>Fresh fruit; review ripeness and cold chain</v>
      </c>
      <c r="N49" s="2">
        <v>1.45</v>
      </c>
      <c r="O49" s="2">
        <v>2</v>
      </c>
      <c r="P49" s="2">
        <v>0.55</v>
      </c>
      <c r="Q49" s="1">
        <v>0.3793103448275863</v>
      </c>
      <c r="R49">
        <v>120</v>
      </c>
      <c r="S49" s="2">
        <v>168</v>
      </c>
      <c r="T49" s="2">
        <v>66</v>
      </c>
      <c r="U49" s="1">
        <v>0.45</v>
      </c>
      <c r="V49" t="str">
        <v>No</v>
      </c>
      <c r="W49" s="1">
        <v>0</v>
      </c>
      <c r="X49" t="str">
        <v>No</v>
      </c>
      <c r="Y49" t="str">
        <v>REVIEW hidden / seasonal</v>
      </c>
      <c r="Z49" t="str">
        <v/>
      </c>
      <c r="AA49" t="str">
        <v/>
      </c>
    </row>
    <row r="50">
      <c r="A50" t="str">
        <v>Small is Beautiful Farm</v>
      </c>
      <c r="B50" t="str">
        <v>Organic Fruit 🍒🍎🫐</v>
      </c>
      <c r="C50">
        <v>994762</v>
      </c>
      <c r="D50" t="str">
        <v>Desert King Fig</v>
      </c>
      <c r="E50">
        <v>768673</v>
      </c>
      <c r="F50" t="str">
        <v>pt</v>
      </c>
      <c r="G50" t="str">
        <v>No</v>
      </c>
      <c r="H50" s="2">
        <v>2.5</v>
      </c>
      <c r="J50" s="1">
        <v>0.45</v>
      </c>
      <c r="K50" s="1">
        <v>1</v>
      </c>
      <c r="L50" t="str">
        <v>Under 1 week / high loss</v>
      </c>
      <c r="M50" t="str">
        <v>Fresh fruit; review ripeness and cold chain</v>
      </c>
      <c r="N50" s="2">
        <v>3.63</v>
      </c>
      <c r="O50" s="2">
        <v>5</v>
      </c>
      <c r="P50" s="2">
        <v>1.37</v>
      </c>
      <c r="Q50" s="1">
        <v>0.3774104683195594</v>
      </c>
      <c r="R50">
        <v>0</v>
      </c>
      <c r="S50" s="2">
        <v>0</v>
      </c>
      <c r="T50" s="2">
        <v>0</v>
      </c>
      <c r="U50" s="1">
        <v>0.45</v>
      </c>
      <c r="V50" t="str">
        <v>No</v>
      </c>
      <c r="W50" s="1">
        <v>0</v>
      </c>
      <c r="X50" t="str">
        <v>No</v>
      </c>
      <c r="Y50" t="str">
        <v>REVIEW hidden / seasonal</v>
      </c>
      <c r="Z50" t="str">
        <v/>
      </c>
      <c r="AA50" t="str">
        <v/>
      </c>
    </row>
    <row r="51">
      <c r="A51" t="str">
        <v>Small is Beautiful Farm</v>
      </c>
      <c r="B51" t="str">
        <v>Organic Fruit 🍒🍎🫐</v>
      </c>
      <c r="C51">
        <v>904032</v>
      </c>
      <c r="D51" t="str">
        <v>Green Seedless Table Grapes</v>
      </c>
      <c r="E51">
        <v>647015</v>
      </c>
      <c r="F51" t="str">
        <v>pt</v>
      </c>
      <c r="G51" t="str">
        <v>No</v>
      </c>
      <c r="H51" s="2">
        <v>3.5</v>
      </c>
      <c r="J51" s="1">
        <v>0.45</v>
      </c>
      <c r="K51" s="1">
        <v>1</v>
      </c>
      <c r="L51" t="str">
        <v>Under 1 week / high loss</v>
      </c>
      <c r="M51" t="str">
        <v>Fresh fruit; review ripeness and cold chain</v>
      </c>
      <c r="N51" s="2">
        <v>5.08</v>
      </c>
      <c r="O51" s="2">
        <v>7</v>
      </c>
      <c r="P51" s="2">
        <v>1.92</v>
      </c>
      <c r="Q51" s="1">
        <v>0.3779527559055118</v>
      </c>
      <c r="R51">
        <v>54</v>
      </c>
      <c r="S51" s="2">
        <v>264.6</v>
      </c>
      <c r="T51" s="2">
        <v>103.68</v>
      </c>
      <c r="U51" s="1">
        <v>0.45</v>
      </c>
      <c r="V51" t="str">
        <v>No</v>
      </c>
      <c r="W51" s="1">
        <v>0</v>
      </c>
      <c r="X51" t="str">
        <v>No</v>
      </c>
      <c r="Y51" t="str">
        <v>REVIEW hidden / seasonal</v>
      </c>
      <c r="Z51" t="str">
        <v/>
      </c>
      <c r="AA51" t="str">
        <v/>
      </c>
    </row>
    <row r="52">
      <c r="A52" t="str">
        <v>Small is Beautiful Farm</v>
      </c>
      <c r="B52" t="str">
        <v>Organic Fruit 🍒🍎🫐</v>
      </c>
      <c r="C52">
        <v>991384</v>
      </c>
      <c r="D52" t="str">
        <v>Honey Plum</v>
      </c>
      <c r="E52">
        <v>763756</v>
      </c>
      <c r="F52" t="str">
        <v>pt</v>
      </c>
      <c r="G52" t="str">
        <v>No</v>
      </c>
      <c r="H52" s="2">
        <v>3</v>
      </c>
      <c r="J52" s="1">
        <v>0.45</v>
      </c>
      <c r="K52" s="1">
        <v>1</v>
      </c>
      <c r="L52" t="str">
        <v>Under 1 week / high loss</v>
      </c>
      <c r="M52" t="str">
        <v>Fresh fruit; review ripeness and cold chain</v>
      </c>
      <c r="N52" s="2">
        <v>4.35</v>
      </c>
      <c r="O52" s="2">
        <v>6</v>
      </c>
      <c r="P52" s="2">
        <v>1.65</v>
      </c>
      <c r="Q52" s="1">
        <v>0.3793103448275863</v>
      </c>
      <c r="R52">
        <v>96</v>
      </c>
      <c r="S52" s="2">
        <v>403.2</v>
      </c>
      <c r="T52" s="2">
        <v>158.4</v>
      </c>
      <c r="U52" s="1">
        <v>0.45</v>
      </c>
      <c r="V52" t="str">
        <v>No</v>
      </c>
      <c r="W52" s="1">
        <v>0</v>
      </c>
      <c r="X52" t="str">
        <v>No</v>
      </c>
      <c r="Y52" t="str">
        <v>REVIEW hidden / seasonal</v>
      </c>
      <c r="Z52" t="str">
        <v/>
      </c>
      <c r="AA52" t="str">
        <v/>
      </c>
    </row>
    <row r="53">
      <c r="A53" t="str">
        <v>Small is Beautiful Farm</v>
      </c>
      <c r="B53" t="str">
        <v>Organic Fruit 🍒🍎🫐</v>
      </c>
      <c r="C53">
        <v>998191</v>
      </c>
      <c r="D53" t="str">
        <v>Mix Apples</v>
      </c>
      <c r="E53">
        <v>774076</v>
      </c>
      <c r="F53" t="str">
        <v>ea</v>
      </c>
      <c r="G53" t="str">
        <v>Yes</v>
      </c>
      <c r="H53" s="2">
        <v>1</v>
      </c>
      <c r="J53" s="1">
        <v>0.45</v>
      </c>
      <c r="K53" s="1">
        <v>1</v>
      </c>
      <c r="L53" t="str">
        <v>Under 1 week / high loss</v>
      </c>
      <c r="M53" t="str">
        <v>Fresh fruit; review ripeness and cold chain</v>
      </c>
      <c r="N53" s="2">
        <v>1.45</v>
      </c>
      <c r="O53" s="2">
        <v>2</v>
      </c>
      <c r="P53" s="2">
        <v>0.55</v>
      </c>
      <c r="Q53" s="1">
        <v>0.3793103448275863</v>
      </c>
      <c r="R53">
        <v>368</v>
      </c>
      <c r="S53" s="2">
        <v>289.8</v>
      </c>
      <c r="T53" s="2">
        <v>202.4</v>
      </c>
      <c r="U53" s="1">
        <v>0.45</v>
      </c>
      <c r="V53" t="str">
        <v>No</v>
      </c>
      <c r="W53" s="1">
        <v>0</v>
      </c>
      <c r="X53" t="str">
        <v>No</v>
      </c>
      <c r="Y53" t="str">
        <v>Candidate</v>
      </c>
      <c r="Z53" t="str">
        <v/>
      </c>
      <c r="AA53" t="str">
        <v/>
      </c>
    </row>
    <row r="54">
      <c r="A54" t="str">
        <v>Small is Beautiful Farm</v>
      </c>
      <c r="B54" t="str">
        <v>Organic Fruit 🍒🍎🫐</v>
      </c>
      <c r="C54">
        <v>812655</v>
      </c>
      <c r="D54" t="str">
        <v>Mix of  Comice/D'Anjou</v>
      </c>
      <c r="E54">
        <v>534523</v>
      </c>
      <c r="F54" t="str">
        <v>ea</v>
      </c>
      <c r="G54" t="str">
        <v>No</v>
      </c>
      <c r="H54" s="2">
        <v>1</v>
      </c>
      <c r="J54" s="1">
        <v>0.45</v>
      </c>
      <c r="K54" s="1">
        <v>1</v>
      </c>
      <c r="L54" t="str">
        <v>Under 1 week / high loss</v>
      </c>
      <c r="M54" t="str">
        <v>Fresh fruit; review ripeness and cold chain</v>
      </c>
      <c r="N54" s="2">
        <v>1.45</v>
      </c>
      <c r="O54" s="2">
        <v>2</v>
      </c>
      <c r="P54" s="2">
        <v>0.55</v>
      </c>
      <c r="Q54" s="1">
        <v>0.3793103448275863</v>
      </c>
      <c r="R54">
        <v>388</v>
      </c>
      <c r="S54" s="2">
        <v>544.55</v>
      </c>
      <c r="T54" s="2">
        <v>213.4</v>
      </c>
      <c r="U54" s="1">
        <v>0.45</v>
      </c>
      <c r="V54" t="str">
        <v>No</v>
      </c>
      <c r="W54" s="1">
        <v>0</v>
      </c>
      <c r="X54" t="str">
        <v>No</v>
      </c>
      <c r="Y54" t="str">
        <v>REVIEW hidden / seasonal</v>
      </c>
      <c r="Z54" t="str">
        <v/>
      </c>
      <c r="AA54" t="str">
        <v/>
      </c>
    </row>
    <row r="55">
      <c r="A55" t="str">
        <v>Small is Beautiful Farm</v>
      </c>
      <c r="B55" t="str">
        <v>Organic Fruit 🍒🍎🫐</v>
      </c>
      <c r="C55">
        <v>805793</v>
      </c>
      <c r="D55" t="str">
        <v>Prune Plum</v>
      </c>
      <c r="E55">
        <v>526849</v>
      </c>
      <c r="F55" t="str">
        <v>each</v>
      </c>
      <c r="G55" t="str">
        <v>No</v>
      </c>
      <c r="H55" s="2">
        <v>3</v>
      </c>
      <c r="J55" s="1">
        <v>0.45</v>
      </c>
      <c r="K55" s="1">
        <v>1</v>
      </c>
      <c r="L55" t="str">
        <v>Under 1 week / high loss</v>
      </c>
      <c r="M55" t="str">
        <v>Fresh fruit; review ripeness and cold chain</v>
      </c>
      <c r="N55" s="2">
        <v>4.35</v>
      </c>
      <c r="O55" s="2">
        <v>6</v>
      </c>
      <c r="P55" s="2">
        <v>1.65</v>
      </c>
      <c r="Q55" s="1">
        <v>0.3793103448275863</v>
      </c>
      <c r="R55">
        <v>13</v>
      </c>
      <c r="S55" s="2">
        <v>54.6</v>
      </c>
      <c r="T55" s="2">
        <v>21.45</v>
      </c>
      <c r="U55" s="1">
        <v>0.45</v>
      </c>
      <c r="V55" t="str">
        <v>No</v>
      </c>
      <c r="W55" s="1">
        <v>0</v>
      </c>
      <c r="X55" t="str">
        <v>No</v>
      </c>
      <c r="Y55" t="str">
        <v>REVIEW hidden / seasonal</v>
      </c>
      <c r="Z55" t="str">
        <v/>
      </c>
      <c r="AA55" t="str">
        <v/>
      </c>
    </row>
    <row r="56">
      <c r="A56" t="str">
        <v>Small is Beautiful Farm</v>
      </c>
      <c r="B56" t="str">
        <v>Organic Fruit 🍒🍎🫐</v>
      </c>
      <c r="C56">
        <v>998896</v>
      </c>
      <c r="D56" t="str">
        <v>Satsuma plums</v>
      </c>
      <c r="E56">
        <v>775170</v>
      </c>
      <c r="F56" t="str">
        <v>pt</v>
      </c>
      <c r="G56" t="str">
        <v>No</v>
      </c>
      <c r="H56" s="2">
        <v>4</v>
      </c>
      <c r="J56" s="1">
        <v>0.45</v>
      </c>
      <c r="K56" s="1">
        <v>1</v>
      </c>
      <c r="L56" t="str">
        <v>Under 1 week / high loss</v>
      </c>
      <c r="M56" t="str">
        <v>Fresh fruit; review ripeness and cold chain</v>
      </c>
      <c r="N56" s="2">
        <v>5.8</v>
      </c>
      <c r="O56" s="2">
        <v>8</v>
      </c>
      <c r="P56" s="2">
        <v>2.2</v>
      </c>
      <c r="Q56" s="1">
        <v>0.3793103448275863</v>
      </c>
      <c r="R56">
        <v>0</v>
      </c>
      <c r="S56" s="2">
        <v>0</v>
      </c>
      <c r="T56" s="2">
        <v>0</v>
      </c>
      <c r="U56" s="1">
        <v>0.45</v>
      </c>
      <c r="V56" t="str">
        <v>No</v>
      </c>
      <c r="W56" s="1">
        <v>0</v>
      </c>
      <c r="X56" t="str">
        <v>No</v>
      </c>
      <c r="Y56" t="str">
        <v>REVIEW hidden / seasonal</v>
      </c>
      <c r="Z56" t="str">
        <v/>
      </c>
      <c r="AA56" t="str">
        <v/>
      </c>
    </row>
    <row r="57">
      <c r="A57" t="str">
        <v>Small is Beautiful Farm</v>
      </c>
      <c r="B57" t="str">
        <v>Organic Fruit 🍒🍎🫐</v>
      </c>
      <c r="C57">
        <v>999637</v>
      </c>
      <c r="D57" t="str">
        <v>Satsuma plums</v>
      </c>
      <c r="E57">
        <v>776515</v>
      </c>
      <c r="F57" t="str">
        <v>pt</v>
      </c>
      <c r="G57" t="str">
        <v>No</v>
      </c>
      <c r="H57" s="2">
        <v>3</v>
      </c>
      <c r="J57" s="1">
        <v>0.45</v>
      </c>
      <c r="K57" s="1">
        <v>1</v>
      </c>
      <c r="L57" t="str">
        <v>Under 1 week / high loss</v>
      </c>
      <c r="M57" t="str">
        <v>Fresh fruit; review ripeness and cold chain</v>
      </c>
      <c r="N57" s="2">
        <v>4.35</v>
      </c>
      <c r="O57" s="2">
        <v>6</v>
      </c>
      <c r="P57" s="2">
        <v>1.65</v>
      </c>
      <c r="Q57" s="1">
        <v>0.3793103448275863</v>
      </c>
      <c r="R57">
        <v>89</v>
      </c>
      <c r="S57" s="2">
        <v>373.8</v>
      </c>
      <c r="T57" s="2">
        <v>146.85</v>
      </c>
      <c r="U57" s="1">
        <v>0.45</v>
      </c>
      <c r="V57" t="str">
        <v>No</v>
      </c>
      <c r="W57" s="1">
        <v>0</v>
      </c>
      <c r="X57" t="str">
        <v>No</v>
      </c>
      <c r="Y57" t="str">
        <v>REVIEW hidden / seasonal</v>
      </c>
      <c r="Z57" t="str">
        <v/>
      </c>
      <c r="AA57" t="str">
        <v/>
      </c>
    </row>
    <row r="58">
      <c r="A58" t="str">
        <v>Small is Beautiful Farm</v>
      </c>
      <c r="B58" t="str">
        <v>Organic Fruit 🍒🍎🫐</v>
      </c>
      <c r="C58">
        <v>897016</v>
      </c>
      <c r="D58" t="str">
        <v>Shiro plums</v>
      </c>
      <c r="E58">
        <v>638086</v>
      </c>
      <c r="F58" t="str">
        <v>dozen</v>
      </c>
      <c r="G58" t="str">
        <v>No</v>
      </c>
      <c r="H58" s="2">
        <v>3.5</v>
      </c>
      <c r="J58" s="1">
        <v>0.45</v>
      </c>
      <c r="K58" s="1">
        <v>1</v>
      </c>
      <c r="L58" t="str">
        <v>Under 1 week / high loss</v>
      </c>
      <c r="M58" t="str">
        <v>Fresh fruit; review ripeness and cold chain</v>
      </c>
      <c r="N58" s="2">
        <v>5.08</v>
      </c>
      <c r="O58" s="2">
        <v>7</v>
      </c>
      <c r="P58" s="2">
        <v>1.92</v>
      </c>
      <c r="Q58" s="1">
        <v>0.3779527559055118</v>
      </c>
      <c r="R58">
        <v>40</v>
      </c>
      <c r="S58" s="2">
        <v>196</v>
      </c>
      <c r="T58" s="2">
        <v>76.8</v>
      </c>
      <c r="U58" s="1">
        <v>0.45</v>
      </c>
      <c r="V58" t="str">
        <v>No</v>
      </c>
      <c r="W58" s="1">
        <v>0</v>
      </c>
      <c r="X58" t="str">
        <v>No</v>
      </c>
      <c r="Y58" t="str">
        <v>REVIEW hidden / seasonal</v>
      </c>
      <c r="Z58" t="str">
        <v/>
      </c>
      <c r="AA58" t="str">
        <v/>
      </c>
    </row>
    <row r="59">
      <c r="A59" t="str">
        <v>Small is Beautiful Farm</v>
      </c>
      <c r="B59" t="str">
        <v>Organic Fruit 🍒🍎🫐</v>
      </c>
      <c r="C59">
        <v>899381</v>
      </c>
      <c r="D59" t="str">
        <v>Suncrest Peach</v>
      </c>
      <c r="E59">
        <v>641228</v>
      </c>
      <c r="F59" t="str">
        <v>ea</v>
      </c>
      <c r="G59" t="str">
        <v>No</v>
      </c>
      <c r="H59" s="2">
        <v>1.25</v>
      </c>
      <c r="J59" s="1">
        <v>0.45</v>
      </c>
      <c r="K59" s="1">
        <v>1</v>
      </c>
      <c r="L59" t="str">
        <v>Under 1 week / high loss</v>
      </c>
      <c r="M59" t="str">
        <v>Fresh fruit; review ripeness and cold chain</v>
      </c>
      <c r="N59" s="2">
        <v>1.81</v>
      </c>
      <c r="O59" s="2">
        <v>2.5</v>
      </c>
      <c r="P59" s="2">
        <v>0.69</v>
      </c>
      <c r="Q59" s="1">
        <v>0.3812154696132597</v>
      </c>
      <c r="R59">
        <v>0</v>
      </c>
      <c r="S59" s="2">
        <v>0</v>
      </c>
      <c r="T59" s="2">
        <v>0</v>
      </c>
      <c r="U59" s="1">
        <v>0.45</v>
      </c>
      <c r="V59" t="str">
        <v>No</v>
      </c>
      <c r="W59" s="1">
        <v>0</v>
      </c>
      <c r="X59" t="str">
        <v>No</v>
      </c>
      <c r="Y59" t="str">
        <v>REVIEW hidden / seasonal</v>
      </c>
      <c r="Z59" t="str">
        <v/>
      </c>
      <c r="AA59" t="str">
        <v/>
      </c>
    </row>
    <row r="60">
      <c r="A60" t="str">
        <v>Winter Green Farm</v>
      </c>
      <c r="B60" t="str">
        <v>Organic Fruit 🍒🍎🫐</v>
      </c>
      <c r="C60">
        <v>805767</v>
      </c>
      <c r="D60" t="str">
        <v>Fresh Strawberries</v>
      </c>
      <c r="E60">
        <v>526823</v>
      </c>
      <c r="F60" t="str">
        <v>Pint</v>
      </c>
      <c r="G60" t="str">
        <v>No</v>
      </c>
      <c r="H60" s="2">
        <v>4.25</v>
      </c>
      <c r="J60" s="1">
        <v>0.45</v>
      </c>
      <c r="K60" s="1">
        <v>1</v>
      </c>
      <c r="L60" t="str">
        <v>Under 1 week / high loss</v>
      </c>
      <c r="M60" t="str">
        <v>Fresh fruit; review ripeness and cold chain</v>
      </c>
      <c r="N60" s="2">
        <v>6.16</v>
      </c>
      <c r="O60" s="2">
        <v>8.5</v>
      </c>
      <c r="P60" s="2">
        <v>2.34</v>
      </c>
      <c r="Q60" s="1">
        <v>0.3798701298701299</v>
      </c>
      <c r="R60">
        <v>68</v>
      </c>
      <c r="S60" s="2">
        <v>417.2</v>
      </c>
      <c r="T60" s="2">
        <v>159.12</v>
      </c>
      <c r="U60" s="1">
        <v>0.45</v>
      </c>
      <c r="V60" t="str">
        <v>No</v>
      </c>
      <c r="W60" s="1">
        <v>0</v>
      </c>
      <c r="X60" t="str">
        <v>No</v>
      </c>
      <c r="Y60" t="str">
        <v>REVIEW hidden / seasonal</v>
      </c>
      <c r="Z60" t="str">
        <v/>
      </c>
      <c r="AA60" t="str">
        <v/>
      </c>
    </row>
    <row r="61">
      <c r="A61" t="str">
        <v>Camas Swale Farm</v>
      </c>
      <c r="B61" t="str">
        <v>Organic Fruiting Vegetables 🌶🥒🎃🍅</v>
      </c>
      <c r="C61">
        <v>913601</v>
      </c>
      <c r="D61" t="str">
        <v>Green Kabocha</v>
      </c>
      <c r="E61">
        <v>659131</v>
      </c>
      <c r="F61" t="str">
        <v>ea</v>
      </c>
      <c r="G61" t="str">
        <v>No</v>
      </c>
      <c r="H61" s="2">
        <v>4</v>
      </c>
      <c r="J61" s="1">
        <v>0.45</v>
      </c>
      <c r="K61" s="1">
        <v>0.45</v>
      </c>
      <c r="L61" t="str">
        <v>1 month+ / preserved</v>
      </c>
      <c r="M61" t="str">
        <v>Hard-rind winter squash</v>
      </c>
      <c r="N61" s="2">
        <v>5.8</v>
      </c>
      <c r="O61" s="2">
        <v>5.8</v>
      </c>
      <c r="P61" s="2">
        <v>0</v>
      </c>
      <c r="Q61" s="1">
        <v>0</v>
      </c>
      <c r="R61">
        <v>0</v>
      </c>
      <c r="S61" s="2">
        <v>0</v>
      </c>
      <c r="T61" s="2">
        <v>0</v>
      </c>
      <c r="U61" s="1">
        <v>0.45</v>
      </c>
      <c r="V61" t="str">
        <v>No</v>
      </c>
      <c r="W61" s="1">
        <v>0</v>
      </c>
      <c r="X61" t="str">
        <v>No</v>
      </c>
      <c r="Y61" t="str">
        <v>REVIEW hidden / seasonal</v>
      </c>
      <c r="Z61" t="str">
        <v/>
      </c>
      <c r="AA61" t="str">
        <v/>
      </c>
    </row>
    <row r="62">
      <c r="A62" t="str">
        <v>Camas Swale Farm</v>
      </c>
      <c r="B62" t="str">
        <v>Organic Fruiting Vegetables 🌶🥒🎃🍅</v>
      </c>
      <c r="C62">
        <v>825355</v>
      </c>
      <c r="D62" t="str">
        <v>Honeynut squash</v>
      </c>
      <c r="E62">
        <v>549276</v>
      </c>
      <c r="F62" t="str">
        <v>ea</v>
      </c>
      <c r="G62" t="str">
        <v>No</v>
      </c>
      <c r="H62" s="2">
        <v>3</v>
      </c>
      <c r="J62" s="1">
        <v>0.45</v>
      </c>
      <c r="K62" s="1">
        <v>0.45</v>
      </c>
      <c r="L62" t="str">
        <v>1 month+ / preserved</v>
      </c>
      <c r="M62" t="str">
        <v>Hard-rind winter squash</v>
      </c>
      <c r="N62" s="2">
        <v>4.35</v>
      </c>
      <c r="O62" s="2">
        <v>4.35</v>
      </c>
      <c r="P62" s="2">
        <v>0</v>
      </c>
      <c r="Q62" s="1">
        <v>0</v>
      </c>
      <c r="R62">
        <v>0</v>
      </c>
      <c r="S62" s="2">
        <v>0</v>
      </c>
      <c r="T62" s="2">
        <v>0</v>
      </c>
      <c r="U62" s="1">
        <v>0.45</v>
      </c>
      <c r="V62" t="str">
        <v>No</v>
      </c>
      <c r="W62" s="1">
        <v>0</v>
      </c>
      <c r="X62" t="str">
        <v>No</v>
      </c>
      <c r="Y62" t="str">
        <v>REVIEW hidden / seasonal</v>
      </c>
      <c r="Z62" t="str">
        <v/>
      </c>
      <c r="AA62" t="str">
        <v/>
      </c>
    </row>
    <row r="63">
      <c r="A63" t="str">
        <v>Camas Swale Farm</v>
      </c>
      <c r="B63" t="str">
        <v>Organic Fruiting Vegetables 🌶🥒🎃🍅</v>
      </c>
      <c r="C63">
        <v>805870</v>
      </c>
      <c r="D63" t="str">
        <v>Honeynut Squash</v>
      </c>
      <c r="E63">
        <v>526928</v>
      </c>
      <c r="F63" t="str">
        <v>each</v>
      </c>
      <c r="G63" t="str">
        <v>No</v>
      </c>
      <c r="H63" s="2">
        <v>3.25</v>
      </c>
      <c r="J63" s="1">
        <v>0.45</v>
      </c>
      <c r="K63" s="1">
        <v>0.45</v>
      </c>
      <c r="L63" t="str">
        <v>1 month+ / preserved</v>
      </c>
      <c r="M63" t="str">
        <v>Hard-rind winter squash</v>
      </c>
      <c r="N63" s="2">
        <v>4.71</v>
      </c>
      <c r="O63" s="2">
        <v>4.71</v>
      </c>
      <c r="P63" s="2">
        <v>0</v>
      </c>
      <c r="Q63" s="1">
        <v>0</v>
      </c>
      <c r="R63">
        <v>0</v>
      </c>
      <c r="S63" s="2">
        <v>0</v>
      </c>
      <c r="T63" s="2">
        <v>0</v>
      </c>
      <c r="U63" s="1">
        <v>0.45</v>
      </c>
      <c r="V63" t="str">
        <v>No</v>
      </c>
      <c r="W63" s="1">
        <v>0</v>
      </c>
      <c r="X63" t="str">
        <v>No</v>
      </c>
      <c r="Y63" t="str">
        <v>REVIEW hidden / seasonal</v>
      </c>
      <c r="Z63" t="str">
        <v/>
      </c>
      <c r="AA63" t="str">
        <v/>
      </c>
    </row>
    <row r="64">
      <c r="A64" t="str">
        <v>Full Farm CSA</v>
      </c>
      <c r="B64" t="str">
        <v>Organic Fruiting Vegetables 🌶🥒🎃🍅</v>
      </c>
      <c r="C64">
        <v>930691</v>
      </c>
      <c r="D64" t="str">
        <v>Autumn Frost Squash Large</v>
      </c>
      <c r="E64">
        <v>679453</v>
      </c>
      <c r="F64" t="str">
        <v>ea</v>
      </c>
      <c r="G64" t="str">
        <v>No</v>
      </c>
      <c r="H64" s="2">
        <v>6</v>
      </c>
      <c r="J64" s="1">
        <v>0.45</v>
      </c>
      <c r="K64" s="1">
        <v>0.45</v>
      </c>
      <c r="L64" t="str">
        <v>1 month+ / preserved</v>
      </c>
      <c r="M64" t="str">
        <v>Hard-rind winter squash</v>
      </c>
      <c r="N64" s="2">
        <v>8.7</v>
      </c>
      <c r="O64" s="2">
        <v>8.7</v>
      </c>
      <c r="P64" s="2">
        <v>0</v>
      </c>
      <c r="Q64" s="1">
        <v>0</v>
      </c>
      <c r="R64">
        <v>0</v>
      </c>
      <c r="S64" s="2">
        <v>0</v>
      </c>
      <c r="T64" s="2">
        <v>0</v>
      </c>
      <c r="U64" s="1">
        <v>0.45</v>
      </c>
      <c r="V64" t="str">
        <v>No</v>
      </c>
      <c r="W64" s="1">
        <v>0</v>
      </c>
      <c r="X64" t="str">
        <v>No</v>
      </c>
      <c r="Y64" t="str">
        <v>REVIEW hidden / seasonal</v>
      </c>
      <c r="Z64" t="str">
        <v/>
      </c>
      <c r="AA64" t="str">
        <v/>
      </c>
    </row>
    <row r="65">
      <c r="A65" t="str">
        <v>Full Farm CSA</v>
      </c>
      <c r="B65" t="str">
        <v>Organic Fruiting Vegetables 🌶🥒🎃🍅</v>
      </c>
      <c r="C65">
        <v>805873</v>
      </c>
      <c r="D65" t="str">
        <v>Butternut Squash</v>
      </c>
      <c r="E65">
        <v>526931</v>
      </c>
      <c r="F65" t="str">
        <v>3-4 lbs each</v>
      </c>
      <c r="G65" t="str">
        <v>No</v>
      </c>
      <c r="H65" s="2">
        <v>2.92</v>
      </c>
      <c r="J65" s="1">
        <v>0.45</v>
      </c>
      <c r="K65" s="1">
        <v>0.45</v>
      </c>
      <c r="L65" t="str">
        <v>1 month+ / preserved</v>
      </c>
      <c r="M65" t="str">
        <v>Hard-rind winter squash</v>
      </c>
      <c r="N65" s="2">
        <v>4.23</v>
      </c>
      <c r="O65" s="2">
        <v>4.23</v>
      </c>
      <c r="P65" s="2">
        <v>0</v>
      </c>
      <c r="Q65" s="1">
        <v>0</v>
      </c>
      <c r="R65">
        <v>78</v>
      </c>
      <c r="S65" s="2">
        <v>375.51</v>
      </c>
      <c r="T65" s="2">
        <v>0</v>
      </c>
      <c r="U65" s="1">
        <v>0.45</v>
      </c>
      <c r="V65" t="str">
        <v>No</v>
      </c>
      <c r="W65" s="1">
        <v>0</v>
      </c>
      <c r="X65" t="str">
        <v>No</v>
      </c>
      <c r="Y65" t="str">
        <v>REVIEW hidden / seasonal</v>
      </c>
      <c r="Z65" t="str">
        <v/>
      </c>
      <c r="AA65" t="str">
        <v/>
      </c>
    </row>
    <row r="66">
      <c r="A66" t="str">
        <v>Full Farm CSA</v>
      </c>
      <c r="B66" t="str">
        <v>Organic Fruiting Vegetables 🌶🥒🎃🍅</v>
      </c>
      <c r="C66">
        <v>928528</v>
      </c>
      <c r="D66" t="str">
        <v>Tetsakabuto Winter Squash</v>
      </c>
      <c r="E66">
        <v>676672</v>
      </c>
      <c r="F66" t="str">
        <v>ea</v>
      </c>
      <c r="G66" t="str">
        <v>No</v>
      </c>
      <c r="H66" s="2">
        <v>4</v>
      </c>
      <c r="J66" s="1">
        <v>0.45</v>
      </c>
      <c r="K66" s="1">
        <v>0.45</v>
      </c>
      <c r="L66" t="str">
        <v>1 month+ / preserved</v>
      </c>
      <c r="M66" t="str">
        <v>Hard-rind winter squash</v>
      </c>
      <c r="N66" s="2">
        <v>5.8</v>
      </c>
      <c r="O66" s="2">
        <v>5.8</v>
      </c>
      <c r="P66" s="2">
        <v>0</v>
      </c>
      <c r="Q66" s="1">
        <v>0</v>
      </c>
      <c r="R66">
        <v>31</v>
      </c>
      <c r="S66" s="2">
        <v>174.2</v>
      </c>
      <c r="T66" s="2">
        <v>0</v>
      </c>
      <c r="U66" s="1">
        <v>0.45</v>
      </c>
      <c r="V66" t="str">
        <v>No</v>
      </c>
      <c r="W66" s="1">
        <v>0</v>
      </c>
      <c r="X66" t="str">
        <v>No</v>
      </c>
      <c r="Y66" t="str">
        <v>REVIEW hidden / seasonal</v>
      </c>
      <c r="Z66" t="str">
        <v/>
      </c>
      <c r="AA66" t="str">
        <v/>
      </c>
    </row>
    <row r="67">
      <c r="A67" t="str">
        <v>Grazier's Garden</v>
      </c>
      <c r="B67" t="str">
        <v>Organic Fruiting Vegetables 🌶🥒🎃🍅</v>
      </c>
      <c r="C67">
        <v>1018696</v>
      </c>
      <c r="D67" t="str">
        <v>Blue Kuri Kabocha Squash</v>
      </c>
      <c r="E67">
        <v>804395</v>
      </c>
      <c r="F67" t="str">
        <v>ea</v>
      </c>
      <c r="G67" t="str">
        <v>No</v>
      </c>
      <c r="H67" s="2">
        <v>4</v>
      </c>
      <c r="J67" s="1">
        <v>0.45</v>
      </c>
      <c r="K67" s="1">
        <v>0.45</v>
      </c>
      <c r="L67" t="str">
        <v>1 month+ / preserved</v>
      </c>
      <c r="M67" t="str">
        <v>Hard-rind winter squash</v>
      </c>
      <c r="N67" s="2">
        <v>5.8</v>
      </c>
      <c r="O67" s="2">
        <v>5.8</v>
      </c>
      <c r="P67" s="2">
        <v>0</v>
      </c>
      <c r="Q67" s="1">
        <v>0</v>
      </c>
      <c r="R67">
        <v>0</v>
      </c>
      <c r="S67" s="2">
        <v>0</v>
      </c>
      <c r="T67" s="2">
        <v>0</v>
      </c>
      <c r="U67" s="1">
        <v>0.45</v>
      </c>
      <c r="V67" t="str">
        <v>No</v>
      </c>
      <c r="W67" s="1">
        <v>0</v>
      </c>
      <c r="X67" t="str">
        <v>No</v>
      </c>
      <c r="Y67" t="str">
        <v>REVIEW hidden / seasonal</v>
      </c>
      <c r="Z67" t="str">
        <v/>
      </c>
      <c r="AA67" t="str">
        <v/>
      </c>
    </row>
    <row r="68">
      <c r="A68" t="str">
        <v>Grazier's Garden</v>
      </c>
      <c r="B68" t="str">
        <v>Organic Fruiting Vegetables 🌶🥒🎃🍅</v>
      </c>
      <c r="C68">
        <v>805847</v>
      </c>
      <c r="D68" t="str">
        <v>Butternut Squash</v>
      </c>
      <c r="E68">
        <v>526905</v>
      </c>
      <c r="F68" t="str">
        <v>each</v>
      </c>
      <c r="G68" t="str">
        <v>No</v>
      </c>
      <c r="H68" s="2">
        <v>3.5</v>
      </c>
      <c r="J68" s="1">
        <v>0.45</v>
      </c>
      <c r="K68" s="1">
        <v>0.45</v>
      </c>
      <c r="L68" t="str">
        <v>1 month+ / preserved</v>
      </c>
      <c r="M68" t="str">
        <v>Hard-rind winter squash</v>
      </c>
      <c r="N68" s="2">
        <v>5.08</v>
      </c>
      <c r="O68" s="2">
        <v>5.08</v>
      </c>
      <c r="P68" s="2">
        <v>0</v>
      </c>
      <c r="Q68" s="1">
        <v>0</v>
      </c>
      <c r="R68">
        <v>0</v>
      </c>
      <c r="S68" s="2">
        <v>0</v>
      </c>
      <c r="T68" s="2">
        <v>0</v>
      </c>
      <c r="U68" s="1">
        <v>0.45</v>
      </c>
      <c r="V68" t="str">
        <v>No</v>
      </c>
      <c r="W68" s="1">
        <v>0</v>
      </c>
      <c r="X68" t="str">
        <v>No</v>
      </c>
      <c r="Y68" t="str">
        <v>REVIEW hidden / seasonal</v>
      </c>
      <c r="Z68" t="str">
        <v/>
      </c>
      <c r="AA68" t="str">
        <v/>
      </c>
    </row>
    <row r="69">
      <c r="A69" t="str">
        <v>Grazier's Garden</v>
      </c>
      <c r="B69" t="str">
        <v>Organic Fruiting Vegetables 🌶🥒🎃🍅</v>
      </c>
      <c r="C69">
        <v>972698</v>
      </c>
      <c r="D69" t="str">
        <v>Frozen Cherry Tomatoes</v>
      </c>
      <c r="E69">
        <v>737048</v>
      </c>
      <c r="F69" t="str">
        <v>1 lb</v>
      </c>
      <c r="G69" t="str">
        <v>No</v>
      </c>
      <c r="H69" s="2">
        <v>3.75</v>
      </c>
      <c r="J69" s="1">
        <v>0.45</v>
      </c>
      <c r="K69" s="1">
        <v>0.45</v>
      </c>
      <c r="L69" t="str">
        <v>1 month+ / preserved</v>
      </c>
      <c r="M69" t="str">
        <v>Frozen, dried, or cured</v>
      </c>
      <c r="N69" s="2">
        <v>5.44</v>
      </c>
      <c r="O69" s="2">
        <v>5.44</v>
      </c>
      <c r="P69" s="2">
        <v>0</v>
      </c>
      <c r="Q69" s="1">
        <v>0</v>
      </c>
      <c r="R69">
        <v>0</v>
      </c>
      <c r="S69" s="2">
        <v>0</v>
      </c>
      <c r="T69" s="2">
        <v>0</v>
      </c>
      <c r="U69" s="1">
        <v>0.45</v>
      </c>
      <c r="V69" t="str">
        <v>No</v>
      </c>
      <c r="W69" s="1">
        <v>0</v>
      </c>
      <c r="X69" t="str">
        <v>No</v>
      </c>
      <c r="Y69" t="str">
        <v>REVIEW hidden / seasonal</v>
      </c>
      <c r="Z69" t="str">
        <v/>
      </c>
      <c r="AA69" t="str">
        <v/>
      </c>
    </row>
    <row r="70">
      <c r="A70" t="str">
        <v>Grazier's Garden</v>
      </c>
      <c r="B70" t="str">
        <v>Organic Fruiting Vegetables 🌶🥒🎃🍅</v>
      </c>
      <c r="C70">
        <v>975655</v>
      </c>
      <c r="D70" t="str">
        <v>Frozen Golden Cherry Tomatoes</v>
      </c>
      <c r="E70">
        <v>741109</v>
      </c>
      <c r="F70" t="str">
        <v>lb</v>
      </c>
      <c r="G70" t="str">
        <v>No</v>
      </c>
      <c r="H70" s="2">
        <v>4</v>
      </c>
      <c r="J70" s="1">
        <v>0.45</v>
      </c>
      <c r="K70" s="1">
        <v>0.45</v>
      </c>
      <c r="L70" t="str">
        <v>1 month+ / preserved</v>
      </c>
      <c r="M70" t="str">
        <v>Frozen, dried, or cured</v>
      </c>
      <c r="N70" s="2">
        <v>5.8</v>
      </c>
      <c r="O70" s="2">
        <v>5.8</v>
      </c>
      <c r="P70" s="2">
        <v>0</v>
      </c>
      <c r="Q70" s="1">
        <v>0</v>
      </c>
      <c r="R70">
        <v>16</v>
      </c>
      <c r="S70" s="2">
        <v>89.6</v>
      </c>
      <c r="T70" s="2">
        <v>0</v>
      </c>
      <c r="U70" s="1">
        <v>0.45</v>
      </c>
      <c r="V70" t="str">
        <v>No</v>
      </c>
      <c r="W70" s="1">
        <v>0</v>
      </c>
      <c r="X70" t="str">
        <v>No</v>
      </c>
      <c r="Y70" t="str">
        <v>REVIEW hidden / seasonal</v>
      </c>
      <c r="Z70" t="str">
        <v/>
      </c>
      <c r="AA70" t="str">
        <v/>
      </c>
    </row>
    <row r="71">
      <c r="A71" t="str">
        <v>Grazier's Garden</v>
      </c>
      <c r="B71" t="str">
        <v>Organic Fruiting Vegetables 🌶🥒🎃🍅</v>
      </c>
      <c r="C71">
        <v>1004866</v>
      </c>
      <c r="D71" t="str">
        <v>Frozen Heirloom Tomatoes</v>
      </c>
      <c r="E71">
        <v>785038</v>
      </c>
      <c r="F71" t="str">
        <v>Frozen Tomatoes</v>
      </c>
      <c r="G71" t="str">
        <v>Yes</v>
      </c>
      <c r="H71" s="2">
        <v>1.5</v>
      </c>
      <c r="J71" s="1">
        <v>0.45</v>
      </c>
      <c r="K71" s="1">
        <v>0.45</v>
      </c>
      <c r="L71" t="str">
        <v>1 month+ / preserved</v>
      </c>
      <c r="M71" t="str">
        <v>Frozen, dried, or cured</v>
      </c>
      <c r="N71" s="2">
        <v>2.17</v>
      </c>
      <c r="O71" s="2">
        <v>2.17</v>
      </c>
      <c r="P71" s="2">
        <v>0</v>
      </c>
      <c r="Q71" s="1">
        <v>0</v>
      </c>
      <c r="R71">
        <v>163</v>
      </c>
      <c r="S71" s="2">
        <v>342.3</v>
      </c>
      <c r="T71" s="2">
        <v>0</v>
      </c>
      <c r="U71" s="1">
        <v>0.45</v>
      </c>
      <c r="V71" t="str">
        <v>No</v>
      </c>
      <c r="W71" s="1">
        <v>0</v>
      </c>
      <c r="X71" t="str">
        <v>No</v>
      </c>
      <c r="Y71" t="str">
        <v>Candidate</v>
      </c>
      <c r="Z71" t="str">
        <v/>
      </c>
      <c r="AA71" t="str">
        <v/>
      </c>
    </row>
    <row r="72">
      <c r="A72" t="str">
        <v>Red Tail Growers</v>
      </c>
      <c r="B72" t="str">
        <v>Organic Fruiting Vegetables 🌶🥒🎃🍅</v>
      </c>
      <c r="C72">
        <v>821704</v>
      </c>
      <c r="D72" t="str">
        <v>Acorn squash</v>
      </c>
      <c r="E72">
        <v>544783</v>
      </c>
      <c r="F72" t="str">
        <v>1 Each</v>
      </c>
      <c r="G72" t="str">
        <v>Yes</v>
      </c>
      <c r="H72" s="2">
        <v>2.5</v>
      </c>
      <c r="J72" s="1">
        <v>0.45</v>
      </c>
      <c r="K72" s="1">
        <v>0.45</v>
      </c>
      <c r="L72" t="str">
        <v>1 month+ / preserved</v>
      </c>
      <c r="M72" t="str">
        <v>Hard-rind winter squash</v>
      </c>
      <c r="N72" s="2">
        <v>3.63</v>
      </c>
      <c r="O72" s="2">
        <v>3.63</v>
      </c>
      <c r="P72" s="2">
        <v>0</v>
      </c>
      <c r="Q72" s="1">
        <v>0</v>
      </c>
      <c r="R72">
        <v>77</v>
      </c>
      <c r="S72" s="2">
        <v>215.94</v>
      </c>
      <c r="T72" s="2">
        <v>0</v>
      </c>
      <c r="U72" s="1">
        <v>0.45</v>
      </c>
      <c r="V72" t="str">
        <v>No</v>
      </c>
      <c r="W72" s="1">
        <v>0</v>
      </c>
      <c r="X72" t="str">
        <v>No</v>
      </c>
      <c r="Y72" t="str">
        <v>Candidate</v>
      </c>
      <c r="Z72" t="str">
        <v/>
      </c>
      <c r="AA72" t="str">
        <v/>
      </c>
    </row>
    <row r="73">
      <c r="A73" t="str">
        <v>Red Tail Growers</v>
      </c>
      <c r="B73" t="str">
        <v>Organic Fruiting Vegetables 🌶🥒🎃🍅</v>
      </c>
      <c r="C73">
        <v>815018</v>
      </c>
      <c r="D73" t="str">
        <v>Mini  kubuchas</v>
      </c>
      <c r="E73">
        <v>537155</v>
      </c>
      <c r="F73" t="str">
        <v>ea</v>
      </c>
      <c r="G73" t="str">
        <v>No</v>
      </c>
      <c r="H73" s="2">
        <v>1</v>
      </c>
      <c r="J73" s="1">
        <v>0.45</v>
      </c>
      <c r="K73" s="1">
        <v>0.45</v>
      </c>
      <c r="L73" t="str">
        <v>1 month+ / preserved</v>
      </c>
      <c r="M73" t="str">
        <v>Hard-rind winter squash</v>
      </c>
      <c r="N73" s="2">
        <v>1.45</v>
      </c>
      <c r="O73" s="2">
        <v>1.45</v>
      </c>
      <c r="P73" s="2">
        <v>0</v>
      </c>
      <c r="Q73" s="1">
        <v>0</v>
      </c>
      <c r="R73">
        <v>0</v>
      </c>
      <c r="S73" s="2">
        <v>0</v>
      </c>
      <c r="T73" s="2">
        <v>0</v>
      </c>
      <c r="U73" s="1">
        <v>0.45</v>
      </c>
      <c r="V73" t="str">
        <v>No</v>
      </c>
      <c r="W73" s="1">
        <v>0</v>
      </c>
      <c r="X73" t="str">
        <v>No</v>
      </c>
      <c r="Y73" t="str">
        <v>REVIEW hidden / seasonal</v>
      </c>
      <c r="Z73" t="str">
        <v/>
      </c>
      <c r="AA73" t="str">
        <v/>
      </c>
    </row>
    <row r="74">
      <c r="A74" t="str">
        <v>Red Tail Growers</v>
      </c>
      <c r="B74" t="str">
        <v>Organic Fruiting Vegetables 🌶🥒🎃🍅</v>
      </c>
      <c r="C74">
        <v>1049948</v>
      </c>
      <c r="D74" t="str">
        <v>Mini Butternut Squash</v>
      </c>
      <c r="E74">
        <v>854210</v>
      </c>
      <c r="F74" t="str">
        <v>each</v>
      </c>
      <c r="G74" t="str">
        <v>Yes</v>
      </c>
      <c r="H74" s="2">
        <v>2</v>
      </c>
      <c r="J74" s="1">
        <v>0.45</v>
      </c>
      <c r="K74" s="1">
        <v>0.45</v>
      </c>
      <c r="L74" t="str">
        <v>1 month+ / preserved</v>
      </c>
      <c r="M74" t="str">
        <v>Hard-rind winter squash</v>
      </c>
      <c r="N74" s="2">
        <v>2.9</v>
      </c>
      <c r="O74" s="2">
        <v>2.9</v>
      </c>
      <c r="P74" s="2">
        <v>0</v>
      </c>
      <c r="Q74" s="1">
        <v>0</v>
      </c>
      <c r="R74">
        <v>40</v>
      </c>
      <c r="S74" s="2">
        <v>112</v>
      </c>
      <c r="T74" s="2">
        <v>0</v>
      </c>
      <c r="U74" s="1">
        <v>0.45</v>
      </c>
      <c r="V74" t="str">
        <v>No</v>
      </c>
      <c r="W74" s="1">
        <v>0</v>
      </c>
      <c r="X74" t="str">
        <v>No</v>
      </c>
      <c r="Y74" t="str">
        <v>Candidate</v>
      </c>
      <c r="Z74" t="str">
        <v/>
      </c>
      <c r="AA74" t="str">
        <v/>
      </c>
    </row>
    <row r="75">
      <c r="A75" t="str">
        <v>Red Tail Growers</v>
      </c>
      <c r="B75" t="str">
        <v>Organic Fruiting Vegetables 🌶🥒🎃🍅</v>
      </c>
      <c r="C75">
        <v>805948</v>
      </c>
      <c r="D75" t="str">
        <v>Orange Kabocha Squash</v>
      </c>
      <c r="E75">
        <v>527008</v>
      </c>
      <c r="F75" t="str">
        <v>each</v>
      </c>
      <c r="G75" t="str">
        <v>No</v>
      </c>
      <c r="H75" s="2">
        <v>4</v>
      </c>
      <c r="J75" s="1">
        <v>0.45</v>
      </c>
      <c r="K75" s="1">
        <v>0.45</v>
      </c>
      <c r="L75" t="str">
        <v>1 month+ / preserved</v>
      </c>
      <c r="M75" t="str">
        <v>Hard-rind winter squash</v>
      </c>
      <c r="N75" s="2">
        <v>5.8</v>
      </c>
      <c r="O75" s="2">
        <v>5.8</v>
      </c>
      <c r="P75" s="2">
        <v>0</v>
      </c>
      <c r="Q75" s="1">
        <v>0</v>
      </c>
      <c r="R75">
        <v>0</v>
      </c>
      <c r="S75" s="2">
        <v>0</v>
      </c>
      <c r="T75" s="2">
        <v>0</v>
      </c>
      <c r="U75" s="1">
        <v>0.45</v>
      </c>
      <c r="V75" t="str">
        <v>No</v>
      </c>
      <c r="W75" s="1">
        <v>0</v>
      </c>
      <c r="X75" t="str">
        <v>No</v>
      </c>
      <c r="Y75" t="str">
        <v>REVIEW hidden / seasonal</v>
      </c>
      <c r="Z75" t="str">
        <v/>
      </c>
      <c r="AA75" t="str">
        <v/>
      </c>
    </row>
    <row r="76">
      <c r="A76" t="str">
        <v>Winter Green Farm</v>
      </c>
      <c r="B76" t="str">
        <v>Organic Fruiting Vegetables 🌶🥒🎃🍅</v>
      </c>
      <c r="C76">
        <v>805888</v>
      </c>
      <c r="D76" t="str">
        <v>Delicata Squash</v>
      </c>
      <c r="E76">
        <v>526946</v>
      </c>
      <c r="F76" t="str">
        <v>about 2 lbs each</v>
      </c>
      <c r="G76" t="str">
        <v>Yes</v>
      </c>
      <c r="H76" s="2">
        <v>2.3</v>
      </c>
      <c r="J76" s="1">
        <v>0.45</v>
      </c>
      <c r="K76" s="1">
        <v>0.45</v>
      </c>
      <c r="L76" t="str">
        <v>1 month+ / preserved</v>
      </c>
      <c r="M76" t="str">
        <v>Hard-rind winter squash</v>
      </c>
      <c r="N76" s="2">
        <v>3.33</v>
      </c>
      <c r="O76" s="2">
        <v>3.33</v>
      </c>
      <c r="P76" s="2">
        <v>0</v>
      </c>
      <c r="Q76" s="1">
        <v>0</v>
      </c>
      <c r="R76">
        <v>139</v>
      </c>
      <c r="S76" s="2">
        <v>398.7</v>
      </c>
      <c r="T76" s="2">
        <v>0</v>
      </c>
      <c r="U76" s="1">
        <v>0.45</v>
      </c>
      <c r="V76" t="str">
        <v>No</v>
      </c>
      <c r="W76" s="1">
        <v>0</v>
      </c>
      <c r="X76" t="str">
        <v>No</v>
      </c>
      <c r="Y76" t="str">
        <v>Candidate</v>
      </c>
      <c r="Z76" t="str">
        <v/>
      </c>
      <c r="AA76" t="str">
        <v/>
      </c>
    </row>
    <row r="77">
      <c r="A77" t="str">
        <v>(missing vendor)</v>
      </c>
      <c r="B77" t="str">
        <v>Organic Fruiting Vegetables 🌶🥒🎃🍅</v>
      </c>
      <c r="C77">
        <v>805881</v>
      </c>
      <c r="D77" t="str">
        <v>Cayenne Pepper</v>
      </c>
      <c r="E77">
        <v>526939</v>
      </c>
      <c r="F77" t="str">
        <v>each</v>
      </c>
      <c r="G77" t="str">
        <v>No</v>
      </c>
      <c r="H77" s="2">
        <v>1</v>
      </c>
      <c r="K77" s="1">
        <v>0.6</v>
      </c>
      <c r="L77" t="str">
        <v>1 week to under 1 month</v>
      </c>
      <c r="M77" t="str">
        <v>Fresh peppers generally store for weeks</v>
      </c>
      <c r="O77" s="2">
        <v>1.6</v>
      </c>
      <c r="R77">
        <v>0</v>
      </c>
      <c r="S77" s="2">
        <v>0</v>
      </c>
      <c r="V77" t="str">
        <v>No</v>
      </c>
      <c r="W77" s="1">
        <v>0</v>
      </c>
      <c r="X77" t="str">
        <v>No</v>
      </c>
      <c r="Y77" t="str">
        <v>HOLD missing vendor</v>
      </c>
      <c r="Z77" t="str">
        <v/>
      </c>
      <c r="AA77" t="str">
        <v/>
      </c>
    </row>
    <row r="78">
      <c r="A78" t="str">
        <v>Camas Swale Farm</v>
      </c>
      <c r="B78" t="str">
        <v>Organic Fruiting Vegetables 🌶🥒🎃🍅</v>
      </c>
      <c r="C78">
        <v>805907</v>
      </c>
      <c r="D78" t="str">
        <v>Fresno Peppers</v>
      </c>
      <c r="E78">
        <v>526965</v>
      </c>
      <c r="F78" t="str">
        <v>1 lb</v>
      </c>
      <c r="G78" t="str">
        <v>Yes</v>
      </c>
      <c r="H78" s="2">
        <v>5</v>
      </c>
      <c r="J78" s="1">
        <v>0.45</v>
      </c>
      <c r="K78" s="1">
        <v>0.6</v>
      </c>
      <c r="L78" t="str">
        <v>1 week to under 1 month</v>
      </c>
      <c r="M78" t="str">
        <v>Fresh peppers generally store for weeks</v>
      </c>
      <c r="N78" s="2">
        <v>7.25</v>
      </c>
      <c r="O78" s="2">
        <v>8</v>
      </c>
      <c r="P78" s="2">
        <v>0.75</v>
      </c>
      <c r="Q78" s="1">
        <v>0.10344827586206895</v>
      </c>
      <c r="R78">
        <v>15</v>
      </c>
      <c r="S78" s="2">
        <v>116.25</v>
      </c>
      <c r="T78" s="2">
        <v>11.25</v>
      </c>
      <c r="U78" s="1">
        <v>0.45</v>
      </c>
      <c r="V78" t="str">
        <v>No</v>
      </c>
      <c r="W78" s="1">
        <v>0</v>
      </c>
      <c r="X78" t="str">
        <v>No</v>
      </c>
      <c r="Y78" t="str">
        <v>Candidate</v>
      </c>
      <c r="Z78" t="str">
        <v/>
      </c>
      <c r="AA78" t="str">
        <v/>
      </c>
    </row>
    <row r="79">
      <c r="A79" t="str">
        <v>Camas Swale Farm</v>
      </c>
      <c r="B79" t="str">
        <v>Organic Fruiting Vegetables 🌶🥒🎃🍅</v>
      </c>
      <c r="C79">
        <v>805913</v>
      </c>
      <c r="D79" t="str">
        <v>Green Bell Pepper</v>
      </c>
      <c r="E79">
        <v>526971</v>
      </c>
      <c r="F79" t="str">
        <v>1 lb</v>
      </c>
      <c r="G79" t="str">
        <v>Yes</v>
      </c>
      <c r="H79" s="2">
        <v>2.5</v>
      </c>
      <c r="J79" s="1">
        <v>0.45</v>
      </c>
      <c r="K79" s="1">
        <v>0.6</v>
      </c>
      <c r="L79" t="str">
        <v>1 week to under 1 month</v>
      </c>
      <c r="M79" t="str">
        <v>Fresh peppers generally store for weeks</v>
      </c>
      <c r="N79" s="2">
        <v>3.63</v>
      </c>
      <c r="O79" s="2">
        <v>4</v>
      </c>
      <c r="P79" s="2">
        <v>0.37</v>
      </c>
      <c r="Q79" s="1">
        <v>0.10192837465564741</v>
      </c>
      <c r="R79">
        <v>126</v>
      </c>
      <c r="S79" s="2">
        <v>515.9</v>
      </c>
      <c r="T79" s="2">
        <v>46.62</v>
      </c>
      <c r="U79" s="1">
        <v>0.45</v>
      </c>
      <c r="V79" t="str">
        <v>No</v>
      </c>
      <c r="W79" s="1">
        <v>0</v>
      </c>
      <c r="X79" t="str">
        <v>No</v>
      </c>
      <c r="Y79" t="str">
        <v>Candidate</v>
      </c>
      <c r="Z79" t="str">
        <v/>
      </c>
      <c r="AA79" t="str">
        <v/>
      </c>
    </row>
    <row r="80">
      <c r="A80" t="str">
        <v>Camas Swale Farm</v>
      </c>
      <c r="B80" t="str">
        <v>Organic Fruiting Vegetables 🌶🥒🎃🍅</v>
      </c>
      <c r="C80">
        <v>906541</v>
      </c>
      <c r="D80" t="str">
        <v>Hot habanero</v>
      </c>
      <c r="E80">
        <v>650569</v>
      </c>
      <c r="F80" t="str">
        <v>lb</v>
      </c>
      <c r="G80" t="str">
        <v>Yes</v>
      </c>
      <c r="H80" s="2">
        <v>5</v>
      </c>
      <c r="J80" s="1">
        <v>0.45</v>
      </c>
      <c r="K80" s="1">
        <v>0.6</v>
      </c>
      <c r="L80" t="str">
        <v>1 week to under 1 month</v>
      </c>
      <c r="M80" t="str">
        <v>Fresh peppers generally store for weeks</v>
      </c>
      <c r="N80" s="2">
        <v>7.25</v>
      </c>
      <c r="O80" s="2">
        <v>8</v>
      </c>
      <c r="P80" s="2">
        <v>0.75</v>
      </c>
      <c r="Q80" s="1">
        <v>0.10344827586206895</v>
      </c>
      <c r="R80">
        <v>0</v>
      </c>
      <c r="S80" s="2">
        <v>0</v>
      </c>
      <c r="T80" s="2">
        <v>0</v>
      </c>
      <c r="U80" s="1">
        <v>0.45</v>
      </c>
      <c r="V80" t="str">
        <v>No</v>
      </c>
      <c r="W80" s="1">
        <v>0</v>
      </c>
      <c r="X80" t="str">
        <v>No</v>
      </c>
      <c r="Y80" t="str">
        <v>Candidate</v>
      </c>
      <c r="Z80" t="str">
        <v/>
      </c>
      <c r="AA80" t="str">
        <v/>
      </c>
    </row>
    <row r="81">
      <c r="A81" t="str">
        <v>Camas Swale Farm</v>
      </c>
      <c r="B81" t="str">
        <v>Organic Fruiting Vegetables 🌶🥒🎃🍅</v>
      </c>
      <c r="C81">
        <v>901488</v>
      </c>
      <c r="D81" t="str">
        <v>Jalapeno</v>
      </c>
      <c r="E81">
        <v>643774</v>
      </c>
      <c r="F81" t="str">
        <v>lb</v>
      </c>
      <c r="G81" t="str">
        <v>Yes</v>
      </c>
      <c r="H81" s="2">
        <v>4</v>
      </c>
      <c r="J81" s="1">
        <v>0.45</v>
      </c>
      <c r="K81" s="1">
        <v>0.6</v>
      </c>
      <c r="L81" t="str">
        <v>1 week to under 1 month</v>
      </c>
      <c r="M81" t="str">
        <v>Fresh peppers generally store for weeks</v>
      </c>
      <c r="N81" s="2">
        <v>5.8</v>
      </c>
      <c r="O81" s="2">
        <v>6.4</v>
      </c>
      <c r="P81" s="2">
        <v>0.6</v>
      </c>
      <c r="Q81" s="1">
        <v>0.10344827586206895</v>
      </c>
      <c r="R81">
        <v>84</v>
      </c>
      <c r="S81" s="2">
        <v>555.87</v>
      </c>
      <c r="T81" s="2">
        <v>50.4</v>
      </c>
      <c r="U81" s="1">
        <v>0.45</v>
      </c>
      <c r="V81" t="str">
        <v>No</v>
      </c>
      <c r="W81" s="1">
        <v>0</v>
      </c>
      <c r="X81" t="str">
        <v>No</v>
      </c>
      <c r="Y81" t="str">
        <v>Candidate</v>
      </c>
      <c r="Z81" t="str">
        <v/>
      </c>
      <c r="AA81" t="str">
        <v/>
      </c>
    </row>
    <row r="82">
      <c r="A82" t="str">
        <v>Camas Swale Farm</v>
      </c>
      <c r="B82" t="str">
        <v>Organic Fruiting Vegetables 🌶🥒🎃🍅</v>
      </c>
      <c r="C82">
        <v>1006110</v>
      </c>
      <c r="D82" t="str">
        <v>Mild habanero</v>
      </c>
      <c r="E82">
        <v>786673</v>
      </c>
      <c r="F82" t="str">
        <v>lb</v>
      </c>
      <c r="G82" t="str">
        <v>No</v>
      </c>
      <c r="H82" s="2">
        <v>6</v>
      </c>
      <c r="J82" s="1">
        <v>0.45</v>
      </c>
      <c r="K82" s="1">
        <v>0.6</v>
      </c>
      <c r="L82" t="str">
        <v>1 week to under 1 month</v>
      </c>
      <c r="M82" t="str">
        <v>Fresh peppers generally store for weeks</v>
      </c>
      <c r="N82" s="2">
        <v>8.7</v>
      </c>
      <c r="O82" s="2">
        <v>9.6</v>
      </c>
      <c r="P82" s="2">
        <v>0.9</v>
      </c>
      <c r="Q82" s="1">
        <v>0.10344827586206895</v>
      </c>
      <c r="R82">
        <v>0</v>
      </c>
      <c r="S82" s="2">
        <v>0</v>
      </c>
      <c r="T82" s="2">
        <v>0</v>
      </c>
      <c r="U82" s="1">
        <v>0.45</v>
      </c>
      <c r="V82" t="str">
        <v>No</v>
      </c>
      <c r="W82" s="1">
        <v>0</v>
      </c>
      <c r="X82" t="str">
        <v>No</v>
      </c>
      <c r="Y82" t="str">
        <v>REVIEW hidden / seasonal</v>
      </c>
      <c r="Z82" t="str">
        <v/>
      </c>
      <c r="AA82" t="str">
        <v/>
      </c>
    </row>
    <row r="83">
      <c r="A83" t="str">
        <v>Camas Swale Farm</v>
      </c>
      <c r="B83" t="str">
        <v>Organic Fruiting Vegetables 🌶🥒🎃🍅</v>
      </c>
      <c r="C83">
        <v>805944</v>
      </c>
      <c r="D83" t="str">
        <v>Poblano Peppers</v>
      </c>
      <c r="E83">
        <v>527004</v>
      </c>
      <c r="F83" t="str">
        <v>1 lb</v>
      </c>
      <c r="G83" t="str">
        <v>Yes</v>
      </c>
      <c r="H83" s="2">
        <v>4.5</v>
      </c>
      <c r="J83" s="1">
        <v>0.45</v>
      </c>
      <c r="K83" s="1">
        <v>0.6</v>
      </c>
      <c r="L83" t="str">
        <v>1 week to under 1 month</v>
      </c>
      <c r="M83" t="str">
        <v>Fresh peppers generally store for weeks</v>
      </c>
      <c r="N83" s="2">
        <v>6.52</v>
      </c>
      <c r="O83" s="2">
        <v>7.2</v>
      </c>
      <c r="P83" s="2">
        <v>0.68</v>
      </c>
      <c r="Q83" s="1">
        <v>0.10429447852760743</v>
      </c>
      <c r="R83">
        <v>81</v>
      </c>
      <c r="S83" s="2">
        <v>510.3</v>
      </c>
      <c r="T83" s="2">
        <v>55.08</v>
      </c>
      <c r="U83" s="1">
        <v>0.45</v>
      </c>
      <c r="V83" t="str">
        <v>No</v>
      </c>
      <c r="W83" s="1">
        <v>0</v>
      </c>
      <c r="X83" t="str">
        <v>No</v>
      </c>
      <c r="Y83" t="str">
        <v>Candidate</v>
      </c>
      <c r="Z83" t="str">
        <v/>
      </c>
      <c r="AA83" t="str">
        <v/>
      </c>
    </row>
    <row r="84">
      <c r="A84" t="str">
        <v>Camas Swale Farm</v>
      </c>
      <c r="B84" t="str">
        <v>Organic Fruiting Vegetables 🌶🥒🎃🍅</v>
      </c>
      <c r="C84">
        <v>906542</v>
      </c>
      <c r="D84" t="str">
        <v>Red Bell Pepper</v>
      </c>
      <c r="E84">
        <v>650570</v>
      </c>
      <c r="F84" t="str">
        <v>lb</v>
      </c>
      <c r="G84" t="str">
        <v>No</v>
      </c>
      <c r="H84" s="2">
        <v>3.5</v>
      </c>
      <c r="J84" s="1">
        <v>0.45</v>
      </c>
      <c r="K84" s="1">
        <v>0.6</v>
      </c>
      <c r="L84" t="str">
        <v>1 week to under 1 month</v>
      </c>
      <c r="M84" t="str">
        <v>Fresh peppers generally store for weeks</v>
      </c>
      <c r="N84" s="2">
        <v>5.08</v>
      </c>
      <c r="O84" s="2">
        <v>5.6</v>
      </c>
      <c r="P84" s="2">
        <v>0.52</v>
      </c>
      <c r="Q84" s="1">
        <v>0.10236220472440927</v>
      </c>
      <c r="R84">
        <v>85</v>
      </c>
      <c r="S84" s="2">
        <v>453.6</v>
      </c>
      <c r="T84" s="2">
        <v>44.2</v>
      </c>
      <c r="U84" s="1">
        <v>0.45</v>
      </c>
      <c r="V84" t="str">
        <v>No</v>
      </c>
      <c r="W84" s="1">
        <v>0</v>
      </c>
      <c r="X84" t="str">
        <v>No</v>
      </c>
      <c r="Y84" t="str">
        <v>REVIEW hidden / seasonal</v>
      </c>
      <c r="Z84" t="str">
        <v/>
      </c>
      <c r="AA84" t="str">
        <v/>
      </c>
    </row>
    <row r="85">
      <c r="A85" t="str">
        <v>Camas Swale Farm</v>
      </c>
      <c r="B85" t="str">
        <v>Organic Fruiting Vegetables 🌶🥒🎃🍅</v>
      </c>
      <c r="C85">
        <v>805920</v>
      </c>
      <c r="D85" t="str">
        <v>Red Bell Peppers</v>
      </c>
      <c r="E85">
        <v>526980</v>
      </c>
      <c r="F85" t="str">
        <v>each</v>
      </c>
      <c r="G85" t="str">
        <v>No</v>
      </c>
      <c r="H85" s="2">
        <v>5.5</v>
      </c>
      <c r="J85" s="1">
        <v>0.45</v>
      </c>
      <c r="K85" s="1">
        <v>0.6</v>
      </c>
      <c r="L85" t="str">
        <v>1 week to under 1 month</v>
      </c>
      <c r="M85" t="str">
        <v>Fresh peppers generally store for weeks</v>
      </c>
      <c r="N85" s="2">
        <v>7.97</v>
      </c>
      <c r="O85" s="2">
        <v>8.8</v>
      </c>
      <c r="P85" s="2">
        <v>0.83</v>
      </c>
      <c r="Q85" s="1">
        <v>0.10414052697616083</v>
      </c>
      <c r="R85">
        <v>0</v>
      </c>
      <c r="S85" s="2">
        <v>0</v>
      </c>
      <c r="T85" s="2">
        <v>0</v>
      </c>
      <c r="U85" s="1">
        <v>0.45</v>
      </c>
      <c r="V85" t="str">
        <v>No</v>
      </c>
      <c r="W85" s="1">
        <v>0</v>
      </c>
      <c r="X85" t="str">
        <v>No</v>
      </c>
      <c r="Y85" t="str">
        <v>REVIEW hidden / seasonal</v>
      </c>
      <c r="Z85" t="str">
        <v/>
      </c>
      <c r="AA85" t="str">
        <v/>
      </c>
    </row>
    <row r="86">
      <c r="A86" t="str">
        <v>Camas Swale Farm</v>
      </c>
      <c r="B86" t="str">
        <v>Organic Fruiting Vegetables 🌶🥒🎃🍅</v>
      </c>
      <c r="C86">
        <v>805943</v>
      </c>
      <c r="D86" t="str">
        <v>Red Jimmy Nardello Peppers</v>
      </c>
      <c r="E86">
        <v>527003</v>
      </c>
      <c r="F86" t="str">
        <v>1 lb</v>
      </c>
      <c r="G86" t="str">
        <v>Yes</v>
      </c>
      <c r="H86" s="2">
        <v>3.5</v>
      </c>
      <c r="J86" s="1">
        <v>0.45</v>
      </c>
      <c r="K86" s="1">
        <v>0.6</v>
      </c>
      <c r="L86" t="str">
        <v>1 week to under 1 month</v>
      </c>
      <c r="M86" t="str">
        <v>Fresh peppers generally store for weeks</v>
      </c>
      <c r="N86" s="2">
        <v>5.08</v>
      </c>
      <c r="O86" s="2">
        <v>5.6</v>
      </c>
      <c r="P86" s="2">
        <v>0.52</v>
      </c>
      <c r="Q86" s="1">
        <v>0.10236220472440927</v>
      </c>
      <c r="R86">
        <v>14</v>
      </c>
      <c r="S86" s="2">
        <v>78.4</v>
      </c>
      <c r="T86" s="2">
        <v>7.28</v>
      </c>
      <c r="U86" s="1">
        <v>0.45</v>
      </c>
      <c r="V86" t="str">
        <v>No</v>
      </c>
      <c r="W86" s="1">
        <v>0</v>
      </c>
      <c r="X86" t="str">
        <v>No</v>
      </c>
      <c r="Y86" t="str">
        <v>Candidate</v>
      </c>
      <c r="Z86" t="str">
        <v/>
      </c>
      <c r="AA86" t="str">
        <v/>
      </c>
    </row>
    <row r="87">
      <c r="A87" t="str">
        <v>Camas Swale Farm</v>
      </c>
      <c r="B87" t="str">
        <v>Organic Fruiting Vegetables 🌶🥒🎃🍅</v>
      </c>
      <c r="C87">
        <v>812653</v>
      </c>
      <c r="D87" t="str">
        <v>Santa Fe Peppers</v>
      </c>
      <c r="E87">
        <v>534521</v>
      </c>
      <c r="F87" t="str">
        <v>pound</v>
      </c>
      <c r="G87" t="str">
        <v>No</v>
      </c>
      <c r="H87" s="2">
        <v>5</v>
      </c>
      <c r="J87" s="1">
        <v>0.45</v>
      </c>
      <c r="K87" s="1">
        <v>0.6</v>
      </c>
      <c r="L87" t="str">
        <v>1 week to under 1 month</v>
      </c>
      <c r="M87" t="str">
        <v>Fresh peppers generally store for weeks</v>
      </c>
      <c r="N87" s="2">
        <v>7.25</v>
      </c>
      <c r="O87" s="2">
        <v>8</v>
      </c>
      <c r="P87" s="2">
        <v>0.75</v>
      </c>
      <c r="Q87" s="1">
        <v>0.10344827586206895</v>
      </c>
      <c r="R87">
        <v>0</v>
      </c>
      <c r="S87" s="2">
        <v>0</v>
      </c>
      <c r="T87" s="2">
        <v>0</v>
      </c>
      <c r="U87" s="1">
        <v>0.45</v>
      </c>
      <c r="V87" t="str">
        <v>No</v>
      </c>
      <c r="W87" s="1">
        <v>0</v>
      </c>
      <c r="X87" t="str">
        <v>No</v>
      </c>
      <c r="Y87" t="str">
        <v>REVIEW hidden / seasonal</v>
      </c>
      <c r="Z87" t="str">
        <v/>
      </c>
      <c r="AA87" t="str">
        <v/>
      </c>
    </row>
    <row r="88">
      <c r="A88" t="str">
        <v>Camas Swale Farm</v>
      </c>
      <c r="B88" t="str">
        <v>Organic Fruiting Vegetables 🌶🥒🎃🍅</v>
      </c>
      <c r="C88">
        <v>899372</v>
      </c>
      <c r="D88" t="str">
        <v>Serrano pepper</v>
      </c>
      <c r="E88">
        <v>641156</v>
      </c>
      <c r="F88" t="str">
        <v>1 lb</v>
      </c>
      <c r="G88" t="str">
        <v>No</v>
      </c>
      <c r="H88" s="2">
        <v>4</v>
      </c>
      <c r="J88" s="1">
        <v>0.45</v>
      </c>
      <c r="K88" s="1">
        <v>0.6</v>
      </c>
      <c r="L88" t="str">
        <v>1 week to under 1 month</v>
      </c>
      <c r="M88" t="str">
        <v>Fresh peppers generally store for weeks</v>
      </c>
      <c r="N88" s="2">
        <v>5.8</v>
      </c>
      <c r="O88" s="2">
        <v>6.4</v>
      </c>
      <c r="P88" s="2">
        <v>0.6</v>
      </c>
      <c r="Q88" s="1">
        <v>0.10344827586206895</v>
      </c>
      <c r="R88">
        <v>9</v>
      </c>
      <c r="S88" s="2">
        <v>50.4</v>
      </c>
      <c r="T88" s="2">
        <v>5.4</v>
      </c>
      <c r="U88" s="1">
        <v>0.45</v>
      </c>
      <c r="V88" t="str">
        <v>No</v>
      </c>
      <c r="W88" s="1">
        <v>0</v>
      </c>
      <c r="X88" t="str">
        <v>No</v>
      </c>
      <c r="Y88" t="str">
        <v>REVIEW hidden / seasonal</v>
      </c>
      <c r="Z88" t="str">
        <v/>
      </c>
      <c r="AA88" t="str">
        <v/>
      </c>
    </row>
    <row r="89">
      <c r="A89" t="str">
        <v>Camas Swale Farm</v>
      </c>
      <c r="B89" t="str">
        <v>Organic Fruiting Vegetables 🌶🥒🎃🍅</v>
      </c>
      <c r="C89">
        <v>910701</v>
      </c>
      <c r="D89" t="str">
        <v>Shishito Pepper Pint</v>
      </c>
      <c r="E89">
        <v>655777</v>
      </c>
      <c r="F89" t="str">
        <v>each</v>
      </c>
      <c r="G89" t="str">
        <v>Yes</v>
      </c>
      <c r="H89" s="2">
        <v>2.75</v>
      </c>
      <c r="J89" s="1">
        <v>0.45</v>
      </c>
      <c r="K89" s="1">
        <v>0.6</v>
      </c>
      <c r="L89" t="str">
        <v>1 week to under 1 month</v>
      </c>
      <c r="M89" t="str">
        <v>Fresh peppers generally store for weeks</v>
      </c>
      <c r="N89" s="2">
        <v>3.99</v>
      </c>
      <c r="O89" s="2">
        <v>4.4</v>
      </c>
      <c r="P89" s="2">
        <v>0.41</v>
      </c>
      <c r="Q89" s="1">
        <v>0.10275689223057638</v>
      </c>
      <c r="R89">
        <v>93</v>
      </c>
      <c r="S89" s="2">
        <v>376.06</v>
      </c>
      <c r="T89" s="2">
        <v>38.13</v>
      </c>
      <c r="U89" s="1">
        <v>0.45</v>
      </c>
      <c r="V89" t="str">
        <v>No</v>
      </c>
      <c r="W89" s="1">
        <v>0</v>
      </c>
      <c r="X89" t="str">
        <v>No</v>
      </c>
      <c r="Y89" t="str">
        <v>Candidate</v>
      </c>
      <c r="Z89" t="str">
        <v/>
      </c>
      <c r="AA89" t="str">
        <v/>
      </c>
    </row>
    <row r="90">
      <c r="A90" t="str">
        <v>Camas Swale Farm</v>
      </c>
      <c r="B90" t="str">
        <v>Organic Fruiting Vegetables 🌶🥒🎃🍅</v>
      </c>
      <c r="C90">
        <v>805954</v>
      </c>
      <c r="D90" t="str">
        <v>Sweet Italian Peppers</v>
      </c>
      <c r="E90">
        <v>527014</v>
      </c>
      <c r="F90" t="str">
        <v>each</v>
      </c>
      <c r="G90" t="str">
        <v>No</v>
      </c>
      <c r="H90" s="2">
        <v>3.35</v>
      </c>
      <c r="J90" s="1">
        <v>0.45</v>
      </c>
      <c r="K90" s="1">
        <v>0.6</v>
      </c>
      <c r="L90" t="str">
        <v>1 week to under 1 month</v>
      </c>
      <c r="M90" t="str">
        <v>Fresh peppers generally store for weeks</v>
      </c>
      <c r="N90" s="2">
        <v>4.86</v>
      </c>
      <c r="O90" s="2">
        <v>5.36</v>
      </c>
      <c r="P90" s="2">
        <v>0.5</v>
      </c>
      <c r="Q90" s="1">
        <v>0.10288065843621408</v>
      </c>
      <c r="R90">
        <v>0</v>
      </c>
      <c r="S90" s="2">
        <v>0</v>
      </c>
      <c r="T90" s="2">
        <v>0</v>
      </c>
      <c r="U90" s="1">
        <v>0.45</v>
      </c>
      <c r="V90" t="str">
        <v>No</v>
      </c>
      <c r="W90" s="1">
        <v>0</v>
      </c>
      <c r="X90" t="str">
        <v>No</v>
      </c>
      <c r="Y90" t="str">
        <v>REVIEW hidden / seasonal</v>
      </c>
      <c r="Z90" t="str">
        <v/>
      </c>
      <c r="AA90" t="str">
        <v/>
      </c>
    </row>
    <row r="91">
      <c r="A91" t="str">
        <v>Full Farm CSA</v>
      </c>
      <c r="B91" t="str">
        <v>Organic Fruiting Vegetables 🌶🥒🎃🍅</v>
      </c>
      <c r="C91">
        <v>805975</v>
      </c>
      <c r="D91" t="str">
        <v>Orange Bell Pepper</v>
      </c>
      <c r="E91">
        <v>527035</v>
      </c>
      <c r="F91" t="str">
        <v>1 lb</v>
      </c>
      <c r="G91" t="str">
        <v>No</v>
      </c>
      <c r="H91" s="2">
        <v>4.4</v>
      </c>
      <c r="J91" s="1">
        <v>0.45</v>
      </c>
      <c r="K91" s="1">
        <v>0.6</v>
      </c>
      <c r="L91" t="str">
        <v>1 week to under 1 month</v>
      </c>
      <c r="M91" t="str">
        <v>Fresh peppers generally store for weeks</v>
      </c>
      <c r="N91" s="2">
        <v>6.38</v>
      </c>
      <c r="O91" s="2">
        <v>7.04</v>
      </c>
      <c r="P91" s="2">
        <v>0.66</v>
      </c>
      <c r="Q91" s="1">
        <v>0.10344827586206895</v>
      </c>
      <c r="R91">
        <v>46</v>
      </c>
      <c r="S91" s="2">
        <v>283.36</v>
      </c>
      <c r="T91" s="2">
        <v>30.36</v>
      </c>
      <c r="U91" s="1">
        <v>0.45</v>
      </c>
      <c r="V91" t="str">
        <v>No</v>
      </c>
      <c r="W91" s="1">
        <v>0</v>
      </c>
      <c r="X91" t="str">
        <v>No</v>
      </c>
      <c r="Y91" t="str">
        <v>REVIEW hidden / seasonal</v>
      </c>
      <c r="Z91" t="str">
        <v/>
      </c>
      <c r="AA91" t="str">
        <v/>
      </c>
    </row>
    <row r="92">
      <c r="A92" t="str">
        <v>Full Farm CSA</v>
      </c>
      <c r="B92" t="str">
        <v>Organic Fruiting Vegetables 🌶🥒🎃🍅</v>
      </c>
      <c r="C92">
        <v>986027</v>
      </c>
      <c r="D92" t="str">
        <v>Shishito Peppers</v>
      </c>
      <c r="E92">
        <v>756207</v>
      </c>
      <c r="F92" t="str">
        <v>1/2 lb</v>
      </c>
      <c r="G92" t="str">
        <v>No</v>
      </c>
      <c r="H92" s="2">
        <v>3</v>
      </c>
      <c r="J92" s="1">
        <v>0.45</v>
      </c>
      <c r="K92" s="1">
        <v>0.6</v>
      </c>
      <c r="L92" t="str">
        <v>1 week to under 1 month</v>
      </c>
      <c r="M92" t="str">
        <v>Fresh peppers generally store for weeks</v>
      </c>
      <c r="N92" s="2">
        <v>4.35</v>
      </c>
      <c r="O92" s="2">
        <v>4.8</v>
      </c>
      <c r="P92" s="2">
        <v>0.45</v>
      </c>
      <c r="Q92" s="1">
        <v>0.10344827586206895</v>
      </c>
      <c r="R92">
        <v>24</v>
      </c>
      <c r="S92" s="2">
        <v>106.68</v>
      </c>
      <c r="T92" s="2">
        <v>10.8</v>
      </c>
      <c r="U92" s="1">
        <v>0.45</v>
      </c>
      <c r="V92" t="str">
        <v>No</v>
      </c>
      <c r="W92" s="1">
        <v>0</v>
      </c>
      <c r="X92" t="str">
        <v>No</v>
      </c>
      <c r="Y92" t="str">
        <v>REVIEW hidden / seasonal</v>
      </c>
      <c r="Z92" t="str">
        <v/>
      </c>
      <c r="AA92" t="str">
        <v/>
      </c>
    </row>
    <row r="93">
      <c r="A93" t="str">
        <v>Grazier's Garden</v>
      </c>
      <c r="B93" t="str">
        <v>Organic Fruiting Vegetables 🌶🥒🎃🍅</v>
      </c>
      <c r="C93">
        <v>1017030</v>
      </c>
      <c r="D93" t="str">
        <v>Cornito Peppers</v>
      </c>
      <c r="E93">
        <v>802189</v>
      </c>
      <c r="F93" t="str">
        <v>pound</v>
      </c>
      <c r="G93" t="str">
        <v>No</v>
      </c>
      <c r="H93" s="2">
        <v>3.75</v>
      </c>
      <c r="J93" s="1">
        <v>0.45</v>
      </c>
      <c r="K93" s="1">
        <v>0.6</v>
      </c>
      <c r="L93" t="str">
        <v>1 week to under 1 month</v>
      </c>
      <c r="M93" t="str">
        <v>Fresh peppers generally store for weeks</v>
      </c>
      <c r="N93" s="2">
        <v>5.44</v>
      </c>
      <c r="O93" s="2">
        <v>6</v>
      </c>
      <c r="P93" s="2">
        <v>0.56</v>
      </c>
      <c r="Q93" s="1">
        <v>0.10294117647058809</v>
      </c>
      <c r="R93">
        <v>13</v>
      </c>
      <c r="S93" s="2">
        <v>68.25</v>
      </c>
      <c r="T93" s="2">
        <v>7.28</v>
      </c>
      <c r="U93" s="1">
        <v>0.45</v>
      </c>
      <c r="V93" t="str">
        <v>No</v>
      </c>
      <c r="W93" s="1">
        <v>0</v>
      </c>
      <c r="X93" t="str">
        <v>No</v>
      </c>
      <c r="Y93" t="str">
        <v>REVIEW hidden / seasonal</v>
      </c>
      <c r="Z93" t="str">
        <v/>
      </c>
      <c r="AA93" t="str">
        <v/>
      </c>
    </row>
    <row r="94">
      <c r="A94" t="str">
        <v>Grazier's Garden</v>
      </c>
      <c r="B94" t="str">
        <v>Organic Fruiting Vegetables 🌶🥒🎃🍅</v>
      </c>
      <c r="C94">
        <v>1000031</v>
      </c>
      <c r="D94" t="str">
        <v>Italian Sweet Frying Peppers</v>
      </c>
      <c r="E94">
        <v>777063</v>
      </c>
      <c r="F94" t="str">
        <v>1 lb</v>
      </c>
      <c r="G94" t="str">
        <v>No</v>
      </c>
      <c r="H94" s="2">
        <v>2.5</v>
      </c>
      <c r="J94" s="1">
        <v>0.45</v>
      </c>
      <c r="K94" s="1">
        <v>0.6</v>
      </c>
      <c r="L94" t="str">
        <v>1 week to under 1 month</v>
      </c>
      <c r="M94" t="str">
        <v>Fresh peppers generally store for weeks</v>
      </c>
      <c r="N94" s="2">
        <v>3.63</v>
      </c>
      <c r="O94" s="2">
        <v>4</v>
      </c>
      <c r="P94" s="2">
        <v>0.37</v>
      </c>
      <c r="Q94" s="1">
        <v>0.10192837465564741</v>
      </c>
      <c r="R94">
        <v>0</v>
      </c>
      <c r="S94" s="2">
        <v>0</v>
      </c>
      <c r="T94" s="2">
        <v>0</v>
      </c>
      <c r="U94" s="1">
        <v>0.45</v>
      </c>
      <c r="V94" t="str">
        <v>No</v>
      </c>
      <c r="W94" s="1">
        <v>0</v>
      </c>
      <c r="X94" t="str">
        <v>No</v>
      </c>
      <c r="Y94" t="str">
        <v>REVIEW hidden / seasonal</v>
      </c>
      <c r="Z94" t="str">
        <v/>
      </c>
      <c r="AA94" t="str">
        <v/>
      </c>
    </row>
    <row r="95">
      <c r="A95" t="str">
        <v>Grazier's Garden</v>
      </c>
      <c r="B95" t="str">
        <v>Organic Fruiting Vegetables 🌶🥒🎃🍅</v>
      </c>
      <c r="C95">
        <v>805933</v>
      </c>
      <c r="D95" t="str">
        <v>Purple Bell Peppers</v>
      </c>
      <c r="E95">
        <v>526993</v>
      </c>
      <c r="F95" t="str">
        <v>each</v>
      </c>
      <c r="G95" t="str">
        <v>No</v>
      </c>
      <c r="H95" s="2">
        <v>2</v>
      </c>
      <c r="J95" s="1">
        <v>0.45</v>
      </c>
      <c r="K95" s="1">
        <v>0.6</v>
      </c>
      <c r="L95" t="str">
        <v>1 week to under 1 month</v>
      </c>
      <c r="M95" t="str">
        <v>Fresh peppers generally store for weeks</v>
      </c>
      <c r="N95" s="2">
        <v>2.9</v>
      </c>
      <c r="O95" s="2">
        <v>3.2</v>
      </c>
      <c r="P95" s="2">
        <v>0.3</v>
      </c>
      <c r="Q95" s="1">
        <v>0.10344827586206895</v>
      </c>
      <c r="R95">
        <v>0</v>
      </c>
      <c r="S95" s="2">
        <v>0</v>
      </c>
      <c r="T95" s="2">
        <v>0</v>
      </c>
      <c r="U95" s="1">
        <v>0.45</v>
      </c>
      <c r="V95" t="str">
        <v>No</v>
      </c>
      <c r="W95" s="1">
        <v>0</v>
      </c>
      <c r="X95" t="str">
        <v>No</v>
      </c>
      <c r="Y95" t="str">
        <v>REVIEW hidden / seasonal</v>
      </c>
      <c r="Z95" t="str">
        <v/>
      </c>
      <c r="AA95" t="str">
        <v/>
      </c>
    </row>
    <row r="96">
      <c r="A96" t="str">
        <v>Grazier's Garden</v>
      </c>
      <c r="B96" t="str">
        <v>Organic Fruiting Vegetables 🌶🥒🎃🍅</v>
      </c>
      <c r="C96">
        <v>1011853</v>
      </c>
      <c r="D96" t="str">
        <v>Purple Bell Peppers</v>
      </c>
      <c r="E96">
        <v>794969</v>
      </c>
      <c r="F96" t="str">
        <v>each</v>
      </c>
      <c r="G96" t="str">
        <v>No</v>
      </c>
      <c r="H96" s="2">
        <v>2</v>
      </c>
      <c r="J96" s="1">
        <v>0.45</v>
      </c>
      <c r="K96" s="1">
        <v>0.6</v>
      </c>
      <c r="L96" t="str">
        <v>1 week to under 1 month</v>
      </c>
      <c r="M96" t="str">
        <v>Fresh peppers generally store for weeks</v>
      </c>
      <c r="N96" s="2">
        <v>2.9</v>
      </c>
      <c r="O96" s="2">
        <v>3.2</v>
      </c>
      <c r="P96" s="2">
        <v>0.3</v>
      </c>
      <c r="Q96" s="1">
        <v>0.10344827586206895</v>
      </c>
      <c r="R96">
        <v>0</v>
      </c>
      <c r="S96" s="2">
        <v>0</v>
      </c>
      <c r="T96" s="2">
        <v>0</v>
      </c>
      <c r="U96" s="1">
        <v>0.45</v>
      </c>
      <c r="V96" t="str">
        <v>No</v>
      </c>
      <c r="W96" s="1">
        <v>0</v>
      </c>
      <c r="X96" t="str">
        <v>No</v>
      </c>
      <c r="Y96" t="str">
        <v>REVIEW hidden / seasonal</v>
      </c>
      <c r="Z96" t="str">
        <v/>
      </c>
      <c r="AA96" t="str">
        <v/>
      </c>
    </row>
    <row r="97">
      <c r="A97" t="str">
        <v>Little Wings</v>
      </c>
      <c r="B97" t="str">
        <v>Organic Fruiting Vegetables 🌶🥒🎃🍅</v>
      </c>
      <c r="C97">
        <v>1006109</v>
      </c>
      <c r="D97" t="str">
        <v>Green Lunchbox Peppers</v>
      </c>
      <c r="E97">
        <v>786672</v>
      </c>
      <c r="F97" t="str">
        <v>1 lb</v>
      </c>
      <c r="G97" t="str">
        <v>No</v>
      </c>
      <c r="H97" s="2">
        <v>4</v>
      </c>
      <c r="J97" s="1">
        <v>0.45</v>
      </c>
      <c r="K97" s="1">
        <v>0.6</v>
      </c>
      <c r="L97" t="str">
        <v>1 week to under 1 month</v>
      </c>
      <c r="M97" t="str">
        <v>Fresh peppers generally store for weeks</v>
      </c>
      <c r="N97" s="2">
        <v>5.8</v>
      </c>
      <c r="O97" s="2">
        <v>6.4</v>
      </c>
      <c r="P97" s="2">
        <v>0.6</v>
      </c>
      <c r="Q97" s="1">
        <v>0.10344827586206895</v>
      </c>
      <c r="R97">
        <v>0</v>
      </c>
      <c r="S97" s="2">
        <v>0</v>
      </c>
      <c r="T97" s="2">
        <v>0</v>
      </c>
      <c r="U97" s="1">
        <v>0.45</v>
      </c>
      <c r="V97" t="str">
        <v>No</v>
      </c>
      <c r="W97" s="1">
        <v>0</v>
      </c>
      <c r="X97" t="str">
        <v>No</v>
      </c>
      <c r="Y97" t="str">
        <v>REVIEW hidden / seasonal</v>
      </c>
      <c r="Z97" t="str">
        <v/>
      </c>
      <c r="AA97" t="str">
        <v/>
      </c>
    </row>
    <row r="98">
      <c r="A98" t="str">
        <v>Little Wings</v>
      </c>
      <c r="B98" t="str">
        <v>Organic Fruiting Vegetables 🌶🥒🎃🍅</v>
      </c>
      <c r="C98">
        <v>805929</v>
      </c>
      <c r="D98" t="str">
        <v>Hungarian Hot Wax Pepper</v>
      </c>
      <c r="E98">
        <v>526989</v>
      </c>
      <c r="F98" t="str">
        <v>lb.</v>
      </c>
      <c r="G98" t="str">
        <v>No</v>
      </c>
      <c r="H98" s="2">
        <v>4.25</v>
      </c>
      <c r="J98" s="1">
        <v>0.45</v>
      </c>
      <c r="K98" s="1">
        <v>0.6</v>
      </c>
      <c r="L98" t="str">
        <v>1 week to under 1 month</v>
      </c>
      <c r="M98" t="str">
        <v>Fresh peppers generally store for weeks</v>
      </c>
      <c r="N98" s="2">
        <v>6.16</v>
      </c>
      <c r="O98" s="2">
        <v>6.8</v>
      </c>
      <c r="P98" s="2">
        <v>0.64</v>
      </c>
      <c r="Q98" s="1">
        <v>0.10389610389610393</v>
      </c>
      <c r="R98">
        <v>1</v>
      </c>
      <c r="S98" s="2">
        <v>5.95</v>
      </c>
      <c r="T98" s="2">
        <v>0.64</v>
      </c>
      <c r="U98" s="1">
        <v>0.45</v>
      </c>
      <c r="V98" t="str">
        <v>No</v>
      </c>
      <c r="W98" s="1">
        <v>0</v>
      </c>
      <c r="X98" t="str">
        <v>No</v>
      </c>
      <c r="Y98" t="str">
        <v>REVIEW hidden / seasonal</v>
      </c>
      <c r="Z98" t="str">
        <v/>
      </c>
      <c r="AA98" t="str">
        <v/>
      </c>
    </row>
    <row r="99">
      <c r="A99" t="str">
        <v>Little Wings</v>
      </c>
      <c r="B99" t="str">
        <v>Organic Fruiting Vegetables 🌶🥒🎃🍅</v>
      </c>
      <c r="C99">
        <v>805939</v>
      </c>
      <c r="D99" t="str">
        <v>Jalapeño Peppers</v>
      </c>
      <c r="E99">
        <v>526999</v>
      </c>
      <c r="F99" t="str">
        <v>Lb.</v>
      </c>
      <c r="G99" t="str">
        <v>No</v>
      </c>
      <c r="H99" s="2">
        <v>3.5</v>
      </c>
      <c r="J99" s="1">
        <v>0.45</v>
      </c>
      <c r="K99" s="1">
        <v>0.6</v>
      </c>
      <c r="L99" t="str">
        <v>1 week to under 1 month</v>
      </c>
      <c r="M99" t="str">
        <v>Fresh peppers generally store for weeks</v>
      </c>
      <c r="N99" s="2">
        <v>5.08</v>
      </c>
      <c r="O99" s="2">
        <v>5.6</v>
      </c>
      <c r="P99" s="2">
        <v>0.52</v>
      </c>
      <c r="Q99" s="1">
        <v>0.10236220472440927</v>
      </c>
      <c r="R99">
        <v>0</v>
      </c>
      <c r="S99" s="2">
        <v>0</v>
      </c>
      <c r="T99" s="2">
        <v>0</v>
      </c>
      <c r="U99" s="1">
        <v>0.45</v>
      </c>
      <c r="V99" t="str">
        <v>No</v>
      </c>
      <c r="W99" s="1">
        <v>0</v>
      </c>
      <c r="X99" t="str">
        <v>No</v>
      </c>
      <c r="Y99" t="str">
        <v>REVIEW hidden / seasonal</v>
      </c>
      <c r="Z99" t="str">
        <v/>
      </c>
      <c r="AA99" t="str">
        <v/>
      </c>
    </row>
    <row r="100">
      <c r="A100" t="str">
        <v>Little Wings</v>
      </c>
      <c r="B100" t="str">
        <v>Organic Fruiting Vegetables 🌶🥒🎃🍅</v>
      </c>
      <c r="C100">
        <v>1004981</v>
      </c>
      <c r="D100" t="str">
        <v>Lunchbox Peppers</v>
      </c>
      <c r="E100">
        <v>785189</v>
      </c>
      <c r="F100" t="str">
        <v>1 pound bag</v>
      </c>
      <c r="G100" t="str">
        <v>No</v>
      </c>
      <c r="H100" s="2">
        <v>4.5</v>
      </c>
      <c r="J100" s="1">
        <v>0.45</v>
      </c>
      <c r="K100" s="1">
        <v>0.6</v>
      </c>
      <c r="L100" t="str">
        <v>1 week to under 1 month</v>
      </c>
      <c r="M100" t="str">
        <v>Fresh peppers generally store for weeks</v>
      </c>
      <c r="N100" s="2">
        <v>6.52</v>
      </c>
      <c r="O100" s="2">
        <v>7.2</v>
      </c>
      <c r="P100" s="2">
        <v>0.68</v>
      </c>
      <c r="Q100" s="1">
        <v>0.10429447852760743</v>
      </c>
      <c r="R100">
        <v>0</v>
      </c>
      <c r="S100" s="2">
        <v>0</v>
      </c>
      <c r="T100" s="2">
        <v>0</v>
      </c>
      <c r="U100" s="1">
        <v>0.45</v>
      </c>
      <c r="V100" t="str">
        <v>No</v>
      </c>
      <c r="W100" s="1">
        <v>0</v>
      </c>
      <c r="X100" t="str">
        <v>No</v>
      </c>
      <c r="Y100" t="str">
        <v>REVIEW hidden / seasonal</v>
      </c>
      <c r="Z100" t="str">
        <v/>
      </c>
      <c r="AA100" t="str">
        <v/>
      </c>
    </row>
    <row r="101">
      <c r="A101" t="str">
        <v>Little Wings</v>
      </c>
      <c r="B101" t="str">
        <v>Organic Fruiting Vegetables 🌶🥒🎃🍅</v>
      </c>
      <c r="C101">
        <v>805983</v>
      </c>
      <c r="D101" t="str">
        <v>Shishito Frying Pepper</v>
      </c>
      <c r="E101">
        <v>527043</v>
      </c>
      <c r="F101" t="str">
        <v>each</v>
      </c>
      <c r="G101" t="str">
        <v>No</v>
      </c>
      <c r="H101" s="2">
        <v>3</v>
      </c>
      <c r="J101" s="1">
        <v>0.45</v>
      </c>
      <c r="K101" s="1">
        <v>0.6</v>
      </c>
      <c r="L101" t="str">
        <v>1 week to under 1 month</v>
      </c>
      <c r="M101" t="str">
        <v>Fresh peppers generally store for weeks</v>
      </c>
      <c r="N101" s="2">
        <v>4.35</v>
      </c>
      <c r="O101" s="2">
        <v>4.8</v>
      </c>
      <c r="P101" s="2">
        <v>0.45</v>
      </c>
      <c r="Q101" s="1">
        <v>0.10344827586206895</v>
      </c>
      <c r="R101">
        <v>84</v>
      </c>
      <c r="S101" s="2">
        <v>301</v>
      </c>
      <c r="T101" s="2">
        <v>37.8</v>
      </c>
      <c r="U101" s="1">
        <v>0.45</v>
      </c>
      <c r="V101" t="str">
        <v>No</v>
      </c>
      <c r="W101" s="1">
        <v>0</v>
      </c>
      <c r="X101" t="str">
        <v>No</v>
      </c>
      <c r="Y101" t="str">
        <v>REVIEW hidden / seasonal</v>
      </c>
      <c r="Z101" t="str">
        <v/>
      </c>
      <c r="AA101" t="str">
        <v/>
      </c>
    </row>
    <row r="102">
      <c r="A102" t="str">
        <v>Organically Grown Company</v>
      </c>
      <c r="B102" t="str">
        <v>Organic Fruiting Vegetables 🌶🥒🎃🍅</v>
      </c>
      <c r="C102">
        <v>899390</v>
      </c>
      <c r="D102" t="str">
        <v>Mini Sweet Mix Bell Peppers</v>
      </c>
      <c r="E102">
        <v>641285</v>
      </c>
      <c r="F102" t="str">
        <v>1 lb bag</v>
      </c>
      <c r="G102" t="str">
        <v>No</v>
      </c>
      <c r="H102" s="2">
        <v>4.59</v>
      </c>
      <c r="J102" s="1">
        <v>0.45</v>
      </c>
      <c r="K102" s="1">
        <v>0.6</v>
      </c>
      <c r="L102" t="str">
        <v>1 week to under 1 month</v>
      </c>
      <c r="M102" t="str">
        <v>Fresh peppers generally store for weeks</v>
      </c>
      <c r="N102" s="2">
        <v>6.66</v>
      </c>
      <c r="O102" s="2">
        <v>7.34</v>
      </c>
      <c r="P102" s="2">
        <v>0.68</v>
      </c>
      <c r="Q102" s="1">
        <v>0.10210210210210202</v>
      </c>
      <c r="R102">
        <v>0</v>
      </c>
      <c r="S102" s="2">
        <v>0</v>
      </c>
      <c r="T102" s="2">
        <v>0</v>
      </c>
      <c r="U102" s="1">
        <v>0.45</v>
      </c>
      <c r="V102" t="str">
        <v>No</v>
      </c>
      <c r="W102" s="1">
        <v>0</v>
      </c>
      <c r="X102" t="str">
        <v>No</v>
      </c>
      <c r="Y102" t="str">
        <v>REVIEW hidden / seasonal</v>
      </c>
      <c r="Z102" t="str">
        <v/>
      </c>
      <c r="AA102" t="str">
        <v/>
      </c>
    </row>
    <row r="103">
      <c r="A103" t="str">
        <v>Organically Grown Company</v>
      </c>
      <c r="B103" t="str">
        <v>Organic Fruiting Vegetables 🌶🥒🎃🍅</v>
      </c>
      <c r="C103">
        <v>812617</v>
      </c>
      <c r="D103" t="str">
        <v>Serrano pepper</v>
      </c>
      <c r="E103">
        <v>534485</v>
      </c>
      <c r="F103" t="str">
        <v>1/2 lb</v>
      </c>
      <c r="G103" t="str">
        <v>No</v>
      </c>
      <c r="H103" s="2">
        <v>2.5</v>
      </c>
      <c r="J103" s="1">
        <v>0.45</v>
      </c>
      <c r="K103" s="1">
        <v>0.6</v>
      </c>
      <c r="L103" t="str">
        <v>1 week to under 1 month</v>
      </c>
      <c r="M103" t="str">
        <v>Fresh peppers generally store for weeks</v>
      </c>
      <c r="N103" s="2">
        <v>3.63</v>
      </c>
      <c r="O103" s="2">
        <v>4</v>
      </c>
      <c r="P103" s="2">
        <v>0.37</v>
      </c>
      <c r="Q103" s="1">
        <v>0.10192837465564741</v>
      </c>
      <c r="R103">
        <v>0</v>
      </c>
      <c r="S103" s="2">
        <v>0</v>
      </c>
      <c r="T103" s="2">
        <v>0</v>
      </c>
      <c r="U103" s="1">
        <v>0.45</v>
      </c>
      <c r="V103" t="str">
        <v>No</v>
      </c>
      <c r="W103" s="1">
        <v>0</v>
      </c>
      <c r="X103" t="str">
        <v>No</v>
      </c>
      <c r="Y103" t="str">
        <v>REVIEW hidden / seasonal</v>
      </c>
      <c r="Z103" t="str">
        <v/>
      </c>
      <c r="AA103" t="str">
        <v/>
      </c>
    </row>
    <row r="104">
      <c r="A104" t="str">
        <v>Red Tail Growers</v>
      </c>
      <c r="B104" t="str">
        <v>Organic Fruiting Vegetables 🌶🥒🎃🍅</v>
      </c>
      <c r="C104">
        <v>1006108</v>
      </c>
      <c r="D104" t="str">
        <v>Italian Frying Pepper</v>
      </c>
      <c r="E104">
        <v>786671</v>
      </c>
      <c r="F104" t="str">
        <v>each</v>
      </c>
      <c r="G104" t="str">
        <v>No</v>
      </c>
      <c r="H104" s="2">
        <v>2.5</v>
      </c>
      <c r="J104" s="1">
        <v>0.45</v>
      </c>
      <c r="K104" s="1">
        <v>0.6</v>
      </c>
      <c r="L104" t="str">
        <v>1 week to under 1 month</v>
      </c>
      <c r="M104" t="str">
        <v>Fresh peppers generally store for weeks</v>
      </c>
      <c r="N104" s="2">
        <v>3.63</v>
      </c>
      <c r="O104" s="2">
        <v>4</v>
      </c>
      <c r="P104" s="2">
        <v>0.37</v>
      </c>
      <c r="Q104" s="1">
        <v>0.10192837465564741</v>
      </c>
      <c r="R104">
        <v>46</v>
      </c>
      <c r="S104" s="2">
        <v>161</v>
      </c>
      <c r="T104" s="2">
        <v>17.02</v>
      </c>
      <c r="U104" s="1">
        <v>0.45</v>
      </c>
      <c r="V104" t="str">
        <v>No</v>
      </c>
      <c r="W104" s="1">
        <v>0</v>
      </c>
      <c r="X104" t="str">
        <v>No</v>
      </c>
      <c r="Y104" t="str">
        <v>REVIEW hidden / seasonal</v>
      </c>
      <c r="Z104" t="str">
        <v/>
      </c>
      <c r="AA104" t="str">
        <v/>
      </c>
    </row>
    <row r="105">
      <c r="A105" t="str">
        <v>Red Tail Growers</v>
      </c>
      <c r="B105" t="str">
        <v>Organic Fruiting Vegetables 🌶🥒🎃🍅</v>
      </c>
      <c r="C105">
        <v>1004983</v>
      </c>
      <c r="D105" t="str">
        <v>Jimmy Nardello Peppers</v>
      </c>
      <c r="E105">
        <v>785191</v>
      </c>
      <c r="F105" t="str">
        <v>1 lb</v>
      </c>
      <c r="G105" t="str">
        <v>No</v>
      </c>
      <c r="H105" s="2">
        <v>6</v>
      </c>
      <c r="J105" s="1">
        <v>0.45</v>
      </c>
      <c r="K105" s="1">
        <v>0.6</v>
      </c>
      <c r="L105" t="str">
        <v>1 week to under 1 month</v>
      </c>
      <c r="M105" t="str">
        <v>Fresh peppers generally store for weeks</v>
      </c>
      <c r="N105" s="2">
        <v>8.7</v>
      </c>
      <c r="O105" s="2">
        <v>9.6</v>
      </c>
      <c r="P105" s="2">
        <v>0.9</v>
      </c>
      <c r="Q105" s="1">
        <v>0.10344827586206895</v>
      </c>
      <c r="R105">
        <v>31</v>
      </c>
      <c r="S105" s="2">
        <v>260.4</v>
      </c>
      <c r="T105" s="2">
        <v>27.9</v>
      </c>
      <c r="U105" s="1">
        <v>0.45</v>
      </c>
      <c r="V105" t="str">
        <v>No</v>
      </c>
      <c r="W105" s="1">
        <v>0</v>
      </c>
      <c r="X105" t="str">
        <v>No</v>
      </c>
      <c r="Y105" t="str">
        <v>REVIEW hidden / seasonal</v>
      </c>
      <c r="Z105" t="str">
        <v/>
      </c>
      <c r="AA105" t="str">
        <v/>
      </c>
    </row>
    <row r="106">
      <c r="A106" t="str">
        <v>Red Tail Growers</v>
      </c>
      <c r="B106" t="str">
        <v>Organic Fruiting Vegetables 🌶🥒🎃🍅</v>
      </c>
      <c r="C106">
        <v>805887</v>
      </c>
      <c r="D106" t="str">
        <v>Padron Peppers</v>
      </c>
      <c r="E106">
        <v>526945</v>
      </c>
      <c r="F106" t="str">
        <v>1 pt</v>
      </c>
      <c r="G106" t="str">
        <v>No</v>
      </c>
      <c r="H106" s="2">
        <v>3</v>
      </c>
      <c r="J106" s="1">
        <v>0.45</v>
      </c>
      <c r="K106" s="1">
        <v>0.6</v>
      </c>
      <c r="L106" t="str">
        <v>1 week to under 1 month</v>
      </c>
      <c r="M106" t="str">
        <v>Fresh peppers generally store for weeks</v>
      </c>
      <c r="N106" s="2">
        <v>4.35</v>
      </c>
      <c r="O106" s="2">
        <v>4.8</v>
      </c>
      <c r="P106" s="2">
        <v>0.45</v>
      </c>
      <c r="Q106" s="1">
        <v>0.10344827586206895</v>
      </c>
      <c r="R106">
        <v>31</v>
      </c>
      <c r="S106" s="2">
        <v>130.2</v>
      </c>
      <c r="T106" s="2">
        <v>13.95</v>
      </c>
      <c r="U106" s="1">
        <v>0.45</v>
      </c>
      <c r="V106" t="str">
        <v>No</v>
      </c>
      <c r="W106" s="1">
        <v>0</v>
      </c>
      <c r="X106" t="str">
        <v>No</v>
      </c>
      <c r="Y106" t="str">
        <v>REVIEW hidden / seasonal</v>
      </c>
      <c r="Z106" t="str">
        <v/>
      </c>
      <c r="AA106" t="str">
        <v/>
      </c>
    </row>
    <row r="107">
      <c r="A107" t="str">
        <v>Small is Beautiful Farm</v>
      </c>
      <c r="B107" t="str">
        <v>Organic Fruiting Vegetables 🌶🥒🎃🍅</v>
      </c>
      <c r="C107">
        <v>805967</v>
      </c>
      <c r="D107" t="str">
        <v>Sweet Gypsy Red Peppers</v>
      </c>
      <c r="E107">
        <v>527027</v>
      </c>
      <c r="F107" t="str">
        <v>each</v>
      </c>
      <c r="G107" t="str">
        <v>Yes</v>
      </c>
      <c r="H107" s="2">
        <v>1</v>
      </c>
      <c r="J107" s="1">
        <v>0.45</v>
      </c>
      <c r="K107" s="1">
        <v>0.6</v>
      </c>
      <c r="L107" t="str">
        <v>1 week to under 1 month</v>
      </c>
      <c r="M107" t="str">
        <v>Fresh peppers generally store for weeks</v>
      </c>
      <c r="N107" s="2">
        <v>1.45</v>
      </c>
      <c r="O107" s="2">
        <v>1.6</v>
      </c>
      <c r="P107" s="2">
        <v>0.15</v>
      </c>
      <c r="Q107" s="1">
        <v>0.10344827586206895</v>
      </c>
      <c r="R107">
        <v>0</v>
      </c>
      <c r="S107" s="2">
        <v>0</v>
      </c>
      <c r="T107" s="2">
        <v>0</v>
      </c>
      <c r="U107" s="1">
        <v>0.45</v>
      </c>
      <c r="V107" t="str">
        <v>No</v>
      </c>
      <c r="W107" s="1">
        <v>0</v>
      </c>
      <c r="X107" t="str">
        <v>No</v>
      </c>
      <c r="Y107" t="str">
        <v>Candidate</v>
      </c>
      <c r="Z107" t="str">
        <v/>
      </c>
      <c r="AA107" t="str">
        <v/>
      </c>
    </row>
    <row r="108">
      <c r="A108" t="str">
        <v>(missing vendor)</v>
      </c>
      <c r="B108" t="str">
        <v>Organic Fruiting Vegetables 🌶🥒🎃🍅</v>
      </c>
      <c r="C108">
        <v>805964</v>
      </c>
      <c r="D108" t="str">
        <v>Green Pole Beans</v>
      </c>
      <c r="E108">
        <v>527024</v>
      </c>
      <c r="F108" t="str">
        <v>1 lb</v>
      </c>
      <c r="G108" t="str">
        <v>No</v>
      </c>
      <c r="H108" s="2">
        <v>4.5</v>
      </c>
      <c r="K108" s="1">
        <v>1</v>
      </c>
      <c r="L108" t="str">
        <v>Under 1 week / high loss</v>
      </c>
      <c r="M108" t="str">
        <v>Tender or ripe fruiting vegetable</v>
      </c>
      <c r="O108" s="2">
        <v>9</v>
      </c>
      <c r="R108">
        <v>0</v>
      </c>
      <c r="S108" s="2">
        <v>0</v>
      </c>
      <c r="V108" t="str">
        <v>No</v>
      </c>
      <c r="W108" s="1">
        <v>0</v>
      </c>
      <c r="X108" t="str">
        <v>No</v>
      </c>
      <c r="Y108" t="str">
        <v>HOLD missing vendor</v>
      </c>
      <c r="Z108" t="str">
        <v/>
      </c>
      <c r="AA108" t="str">
        <v/>
      </c>
    </row>
    <row r="109">
      <c r="A109" t="str">
        <v>(missing vendor)</v>
      </c>
      <c r="B109" t="str">
        <v>Organic Fruiting Vegetables 🌶🥒🎃🍅</v>
      </c>
      <c r="C109">
        <v>883821</v>
      </c>
      <c r="D109" t="str">
        <v>Persian Cucumber</v>
      </c>
      <c r="E109">
        <v>621073</v>
      </c>
      <c r="F109" t="str">
        <v>1 lb</v>
      </c>
      <c r="G109" t="str">
        <v>No</v>
      </c>
      <c r="H109" s="2">
        <v>2.4</v>
      </c>
      <c r="K109" s="1">
        <v>1</v>
      </c>
      <c r="L109" t="str">
        <v>Under 1 week / high loss</v>
      </c>
      <c r="M109" t="str">
        <v>Tender or ripe fruiting vegetable</v>
      </c>
      <c r="O109" s="2">
        <v>4.8</v>
      </c>
      <c r="R109">
        <v>0</v>
      </c>
      <c r="S109" s="2">
        <v>0</v>
      </c>
      <c r="V109" t="str">
        <v>No</v>
      </c>
      <c r="W109" s="1">
        <v>0</v>
      </c>
      <c r="X109" t="str">
        <v>No</v>
      </c>
      <c r="Y109" t="str">
        <v>HOLD missing vendor</v>
      </c>
      <c r="Z109" t="str">
        <v/>
      </c>
      <c r="AA109" t="str">
        <v/>
      </c>
    </row>
    <row r="110">
      <c r="A110" t="str">
        <v>Camas Swale Farm</v>
      </c>
      <c r="B110" t="str">
        <v>Organic Fruiting Vegetables 🌶🥒🎃🍅</v>
      </c>
      <c r="C110">
        <v>897379</v>
      </c>
      <c r="D110" t="str">
        <v>Green beans</v>
      </c>
      <c r="E110">
        <v>638626</v>
      </c>
      <c r="F110" t="str">
        <v>pound</v>
      </c>
      <c r="G110" t="str">
        <v>No</v>
      </c>
      <c r="H110" s="2">
        <v>4.5</v>
      </c>
      <c r="J110" s="1">
        <v>0.45</v>
      </c>
      <c r="K110" s="1">
        <v>1</v>
      </c>
      <c r="L110" t="str">
        <v>Under 1 week / high loss</v>
      </c>
      <c r="M110" t="str">
        <v>Tender or ripe fruiting vegetable</v>
      </c>
      <c r="N110" s="2">
        <v>6.52</v>
      </c>
      <c r="O110" s="2">
        <v>9</v>
      </c>
      <c r="P110" s="2">
        <v>2.48</v>
      </c>
      <c r="Q110" s="1">
        <v>0.3803680981595092</v>
      </c>
      <c r="R110">
        <v>46</v>
      </c>
      <c r="S110" s="2">
        <v>289.8</v>
      </c>
      <c r="T110" s="2">
        <v>114.08</v>
      </c>
      <c r="U110" s="1">
        <v>0.45</v>
      </c>
      <c r="V110" t="str">
        <v>No</v>
      </c>
      <c r="W110" s="1">
        <v>0</v>
      </c>
      <c r="X110" t="str">
        <v>No</v>
      </c>
      <c r="Y110" t="str">
        <v>REVIEW hidden / seasonal</v>
      </c>
      <c r="Z110" t="str">
        <v/>
      </c>
      <c r="AA110" t="str">
        <v/>
      </c>
    </row>
    <row r="111">
      <c r="A111" t="str">
        <v>Camas Swale Farm</v>
      </c>
      <c r="B111" t="str">
        <v>Organic Fruiting Vegetables 🌶🥒🎃🍅</v>
      </c>
      <c r="C111">
        <v>812620</v>
      </c>
      <c r="D111" t="str">
        <v>Italian Eggplant</v>
      </c>
      <c r="E111">
        <v>534488</v>
      </c>
      <c r="F111" t="str">
        <v>pound</v>
      </c>
      <c r="G111" t="str">
        <v>Yes</v>
      </c>
      <c r="H111" s="2">
        <v>2.8</v>
      </c>
      <c r="J111" s="1">
        <v>0.45</v>
      </c>
      <c r="K111" s="1">
        <v>1</v>
      </c>
      <c r="L111" t="str">
        <v>Under 1 week / high loss</v>
      </c>
      <c r="M111" t="str">
        <v>Tender or ripe fruiting vegetable</v>
      </c>
      <c r="N111" s="2">
        <v>4.06</v>
      </c>
      <c r="O111" s="2">
        <v>5.6</v>
      </c>
      <c r="P111" s="2">
        <v>1.54</v>
      </c>
      <c r="Q111" s="1">
        <v>0.3793103448275863</v>
      </c>
      <c r="R111">
        <v>0</v>
      </c>
      <c r="S111" s="2">
        <v>0</v>
      </c>
      <c r="T111" s="2">
        <v>0</v>
      </c>
      <c r="U111" s="1">
        <v>0.45</v>
      </c>
      <c r="V111" t="str">
        <v>No</v>
      </c>
      <c r="W111" s="1">
        <v>0</v>
      </c>
      <c r="X111" t="str">
        <v>No</v>
      </c>
      <c r="Y111" t="str">
        <v>Candidate</v>
      </c>
      <c r="Z111" t="str">
        <v/>
      </c>
      <c r="AA111" t="str">
        <v/>
      </c>
    </row>
    <row r="112">
      <c r="A112" t="str">
        <v>Camas Swale Farm</v>
      </c>
      <c r="B112" t="str">
        <v>Organic Fruiting Vegetables 🌶🥒🎃🍅</v>
      </c>
      <c r="C112">
        <v>805892</v>
      </c>
      <c r="D112" t="str">
        <v>Pickling Cucumber</v>
      </c>
      <c r="E112">
        <v>526950</v>
      </c>
      <c r="F112" t="str">
        <v>1 lb</v>
      </c>
      <c r="G112" t="str">
        <v>No</v>
      </c>
      <c r="H112" s="2">
        <v>2.5</v>
      </c>
      <c r="J112" s="1">
        <v>0.45</v>
      </c>
      <c r="K112" s="1">
        <v>1</v>
      </c>
      <c r="L112" t="str">
        <v>Under 1 week / high loss</v>
      </c>
      <c r="M112" t="str">
        <v>Tender or ripe fruiting vegetable</v>
      </c>
      <c r="N112" s="2">
        <v>3.63</v>
      </c>
      <c r="O112" s="2">
        <v>5</v>
      </c>
      <c r="P112" s="2">
        <v>1.37</v>
      </c>
      <c r="Q112" s="1">
        <v>0.3774104683195594</v>
      </c>
      <c r="R112">
        <v>0</v>
      </c>
      <c r="S112" s="2">
        <v>0</v>
      </c>
      <c r="T112" s="2">
        <v>0</v>
      </c>
      <c r="U112" s="1">
        <v>0.45</v>
      </c>
      <c r="V112" t="str">
        <v>No</v>
      </c>
      <c r="W112" s="1">
        <v>0</v>
      </c>
      <c r="X112" t="str">
        <v>No</v>
      </c>
      <c r="Y112" t="str">
        <v>REVIEW hidden / seasonal</v>
      </c>
      <c r="Z112" t="str">
        <v/>
      </c>
      <c r="AA112" t="str">
        <v/>
      </c>
    </row>
    <row r="113">
      <c r="A113" t="str">
        <v>Camas Swale Farm</v>
      </c>
      <c r="B113" t="str">
        <v>Organic Fruiting Vegetables 🌶🥒🎃🍅</v>
      </c>
      <c r="C113">
        <v>805876</v>
      </c>
      <c r="D113" t="str">
        <v>Red Cherry Tomatoes</v>
      </c>
      <c r="E113">
        <v>526934</v>
      </c>
      <c r="F113" t="str">
        <v>each</v>
      </c>
      <c r="G113" t="str">
        <v>No</v>
      </c>
      <c r="H113" s="2">
        <v>3.5</v>
      </c>
      <c r="J113" s="1">
        <v>0.45</v>
      </c>
      <c r="K113" s="1">
        <v>1</v>
      </c>
      <c r="L113" t="str">
        <v>Under 1 week / high loss</v>
      </c>
      <c r="M113" t="str">
        <v>Tender or ripe fruiting vegetable</v>
      </c>
      <c r="N113" s="2">
        <v>5.08</v>
      </c>
      <c r="O113" s="2">
        <v>7</v>
      </c>
      <c r="P113" s="2">
        <v>1.92</v>
      </c>
      <c r="Q113" s="1">
        <v>0.3779527559055118</v>
      </c>
      <c r="R113">
        <v>161</v>
      </c>
      <c r="S113" s="2">
        <v>885.92</v>
      </c>
      <c r="T113" s="2">
        <v>309.12</v>
      </c>
      <c r="U113" s="1">
        <v>0.45</v>
      </c>
      <c r="V113" t="str">
        <v>No</v>
      </c>
      <c r="W113" s="1">
        <v>0</v>
      </c>
      <c r="X113" t="str">
        <v>No</v>
      </c>
      <c r="Y113" t="str">
        <v>REVIEW hidden / seasonal</v>
      </c>
      <c r="Z113" t="str">
        <v/>
      </c>
      <c r="AA113" t="str">
        <v/>
      </c>
    </row>
    <row r="114">
      <c r="A114" t="str">
        <v>Camas Swale Farm</v>
      </c>
      <c r="B114" t="str">
        <v>Organic Fruiting Vegetables 🌶🥒🎃🍅</v>
      </c>
      <c r="C114">
        <v>973113</v>
      </c>
      <c r="D114" t="str">
        <v>Sugar Snap Peas</v>
      </c>
      <c r="E114">
        <v>737953</v>
      </c>
      <c r="F114" t="str">
        <v>1/2 lb</v>
      </c>
      <c r="G114" t="str">
        <v>No</v>
      </c>
      <c r="H114" s="2">
        <v>2.95</v>
      </c>
      <c r="J114" s="1">
        <v>0.45</v>
      </c>
      <c r="K114" s="1">
        <v>1</v>
      </c>
      <c r="L114" t="str">
        <v>Under 1 week / high loss</v>
      </c>
      <c r="M114" t="str">
        <v>Tender or ripe fruiting vegetable</v>
      </c>
      <c r="N114" s="2">
        <v>4.28</v>
      </c>
      <c r="O114" s="2">
        <v>5.9</v>
      </c>
      <c r="P114" s="2">
        <v>1.62</v>
      </c>
      <c r="Q114" s="1">
        <v>0.37850467289719636</v>
      </c>
      <c r="R114">
        <v>215</v>
      </c>
      <c r="S114" s="2">
        <v>887.95</v>
      </c>
      <c r="T114" s="2">
        <v>348.3</v>
      </c>
      <c r="U114" s="1">
        <v>0.45</v>
      </c>
      <c r="V114" t="str">
        <v>No</v>
      </c>
      <c r="W114" s="1">
        <v>0</v>
      </c>
      <c r="X114" t="str">
        <v>No</v>
      </c>
      <c r="Y114" t="str">
        <v>REVIEW hidden / seasonal</v>
      </c>
      <c r="Z114" t="str">
        <v/>
      </c>
      <c r="AA114" t="str">
        <v/>
      </c>
    </row>
    <row r="115">
      <c r="A115" t="str">
        <v>Grazier's Garden</v>
      </c>
      <c r="B115" t="str">
        <v>Organic Fruiting Vegetables 🌶🥒🎃🍅</v>
      </c>
      <c r="C115">
        <v>1000029</v>
      </c>
      <c r="D115" t="str">
        <v>Heirloom Tomatoes</v>
      </c>
      <c r="E115">
        <v>777061</v>
      </c>
      <c r="F115" t="str">
        <v>pound</v>
      </c>
      <c r="G115" t="str">
        <v>No</v>
      </c>
      <c r="H115" s="2">
        <v>3.25</v>
      </c>
      <c r="J115" s="1">
        <v>0.45</v>
      </c>
      <c r="K115" s="1">
        <v>1</v>
      </c>
      <c r="L115" t="str">
        <v>Under 1 week / high loss</v>
      </c>
      <c r="M115" t="str">
        <v>Tender or ripe fruiting vegetable</v>
      </c>
      <c r="N115" s="2">
        <v>4.71</v>
      </c>
      <c r="O115" s="2">
        <v>6.5</v>
      </c>
      <c r="P115" s="2">
        <v>1.79</v>
      </c>
      <c r="Q115" s="1">
        <v>0.38004246284501053</v>
      </c>
      <c r="R115">
        <v>0</v>
      </c>
      <c r="S115" s="2">
        <v>0</v>
      </c>
      <c r="U115" s="1">
        <v>0.45</v>
      </c>
      <c r="V115" t="str">
        <v>No</v>
      </c>
      <c r="W115" s="1">
        <v>0</v>
      </c>
      <c r="X115" t="str">
        <v>Yes</v>
      </c>
      <c r="Y115" t="str">
        <v>HOLD customer price overrides</v>
      </c>
      <c r="Z115" t="str">
        <v/>
      </c>
      <c r="AA115" t="str">
        <v/>
      </c>
    </row>
    <row r="116">
      <c r="A116" t="str">
        <v>Grazier's Garden</v>
      </c>
      <c r="B116" t="str">
        <v>Organic Fruiting Vegetables 🌶🥒🎃🍅</v>
      </c>
      <c r="C116">
        <v>805862</v>
      </c>
      <c r="D116" t="str">
        <v>Oxheart Heirloom Tomatoes</v>
      </c>
      <c r="E116">
        <v>526920</v>
      </c>
      <c r="F116" t="str">
        <v>1 lb</v>
      </c>
      <c r="G116" t="str">
        <v>No</v>
      </c>
      <c r="H116" s="2">
        <v>4</v>
      </c>
      <c r="J116" s="1">
        <v>0.45</v>
      </c>
      <c r="K116" s="1">
        <v>1</v>
      </c>
      <c r="L116" t="str">
        <v>Under 1 week / high loss</v>
      </c>
      <c r="M116" t="str">
        <v>Tender or ripe fruiting vegetable</v>
      </c>
      <c r="N116" s="2">
        <v>5.8</v>
      </c>
      <c r="O116" s="2">
        <v>8</v>
      </c>
      <c r="P116" s="2">
        <v>2.2</v>
      </c>
      <c r="Q116" s="1">
        <v>0.3793103448275863</v>
      </c>
      <c r="R116">
        <v>0</v>
      </c>
      <c r="S116" s="2">
        <v>0</v>
      </c>
      <c r="T116" s="2">
        <v>0</v>
      </c>
      <c r="U116" s="1">
        <v>0.45</v>
      </c>
      <c r="V116" t="str">
        <v>No</v>
      </c>
      <c r="W116" s="1">
        <v>0</v>
      </c>
      <c r="X116" t="str">
        <v>No</v>
      </c>
      <c r="Y116" t="str">
        <v>REVIEW hidden / seasonal</v>
      </c>
      <c r="Z116" t="str">
        <v/>
      </c>
      <c r="AA116" t="str">
        <v/>
      </c>
    </row>
    <row r="117">
      <c r="A117" t="str">
        <v>Grazier's Garden</v>
      </c>
      <c r="B117" t="str">
        <v>Organic Fruiting Vegetables 🌶🥒🎃🍅</v>
      </c>
      <c r="C117">
        <v>805855</v>
      </c>
      <c r="D117" t="str">
        <v>Paste Tomatoes</v>
      </c>
      <c r="E117">
        <v>526913</v>
      </c>
      <c r="F117" t="str">
        <v>1 lb</v>
      </c>
      <c r="G117" t="str">
        <v>No</v>
      </c>
      <c r="H117" s="2">
        <v>2.5</v>
      </c>
      <c r="J117" s="1">
        <v>0.45</v>
      </c>
      <c r="K117" s="1">
        <v>1</v>
      </c>
      <c r="L117" t="str">
        <v>Under 1 week / high loss</v>
      </c>
      <c r="M117" t="str">
        <v>Tender or ripe fruiting vegetable</v>
      </c>
      <c r="N117" s="2">
        <v>3.63</v>
      </c>
      <c r="O117" s="2">
        <v>5</v>
      </c>
      <c r="P117" s="2">
        <v>1.37</v>
      </c>
      <c r="Q117" s="1">
        <v>0.3774104683195594</v>
      </c>
      <c r="R117">
        <v>0</v>
      </c>
      <c r="S117" s="2">
        <v>0</v>
      </c>
      <c r="U117" s="1">
        <v>0.45</v>
      </c>
      <c r="V117" t="str">
        <v>No</v>
      </c>
      <c r="W117" s="1">
        <v>0</v>
      </c>
      <c r="X117" t="str">
        <v>Yes</v>
      </c>
      <c r="Y117" t="str">
        <v>HOLD customer price overrides</v>
      </c>
      <c r="Z117" t="str">
        <v/>
      </c>
      <c r="AA117" t="str">
        <v/>
      </c>
    </row>
    <row r="118">
      <c r="A118" t="str">
        <v>Grazier's Garden</v>
      </c>
      <c r="B118" t="str">
        <v>Organic Fruiting Vegetables 🌶🥒🎃🍅</v>
      </c>
      <c r="C118">
        <v>805965</v>
      </c>
      <c r="D118" t="str">
        <v>Red Slicer Tomato</v>
      </c>
      <c r="E118">
        <v>527025</v>
      </c>
      <c r="F118" t="str">
        <v>lb</v>
      </c>
      <c r="G118" t="str">
        <v>No</v>
      </c>
      <c r="H118" s="2">
        <v>2</v>
      </c>
      <c r="J118" s="1">
        <v>0.45</v>
      </c>
      <c r="K118" s="1">
        <v>1</v>
      </c>
      <c r="L118" t="str">
        <v>Under 1 week / high loss</v>
      </c>
      <c r="M118" t="str">
        <v>Tender or ripe fruiting vegetable</v>
      </c>
      <c r="N118" s="2">
        <v>2.9</v>
      </c>
      <c r="O118" s="2">
        <v>4</v>
      </c>
      <c r="P118" s="2">
        <v>1.1</v>
      </c>
      <c r="Q118" s="1">
        <v>0.3793103448275863</v>
      </c>
      <c r="R118">
        <v>0</v>
      </c>
      <c r="S118" s="2">
        <v>0</v>
      </c>
      <c r="T118" s="2">
        <v>0</v>
      </c>
      <c r="U118" s="1">
        <v>0.45</v>
      </c>
      <c r="V118" t="str">
        <v>No</v>
      </c>
      <c r="W118" s="1">
        <v>0</v>
      </c>
      <c r="X118" t="str">
        <v>No</v>
      </c>
      <c r="Y118" t="str">
        <v>REVIEW hidden / seasonal</v>
      </c>
      <c r="Z118" t="str">
        <v/>
      </c>
      <c r="AA118" t="str">
        <v/>
      </c>
    </row>
    <row r="119">
      <c r="A119" t="str">
        <v>Grazier's Garden</v>
      </c>
      <c r="B119" t="str">
        <v>Organic Fruiting Vegetables 🌶🥒🎃🍅</v>
      </c>
      <c r="C119">
        <v>805986</v>
      </c>
      <c r="D119" t="str">
        <v>Red Slicer Tomatoes</v>
      </c>
      <c r="E119">
        <v>527045</v>
      </c>
      <c r="F119" t="str">
        <v>1 lb</v>
      </c>
      <c r="G119" t="str">
        <v>No</v>
      </c>
      <c r="H119" s="2">
        <v>2.2</v>
      </c>
      <c r="J119" s="1">
        <v>0.45</v>
      </c>
      <c r="K119" s="1">
        <v>1</v>
      </c>
      <c r="L119" t="str">
        <v>Under 1 week / high loss</v>
      </c>
      <c r="M119" t="str">
        <v>Tender or ripe fruiting vegetable</v>
      </c>
      <c r="N119" s="2">
        <v>3.19</v>
      </c>
      <c r="O119" s="2">
        <v>4.4</v>
      </c>
      <c r="P119" s="2">
        <v>1.21</v>
      </c>
      <c r="Q119" s="1">
        <v>0.3793103448275863</v>
      </c>
      <c r="R119">
        <v>0</v>
      </c>
      <c r="S119" s="2">
        <v>0</v>
      </c>
      <c r="U119" s="1">
        <v>0.45</v>
      </c>
      <c r="V119" t="str">
        <v>No</v>
      </c>
      <c r="W119" s="1">
        <v>0</v>
      </c>
      <c r="X119" t="str">
        <v>Yes</v>
      </c>
      <c r="Y119" t="str">
        <v>HOLD customer price overrides</v>
      </c>
      <c r="Z119" t="str">
        <v/>
      </c>
      <c r="AA119" t="str">
        <v/>
      </c>
    </row>
    <row r="120">
      <c r="A120" t="str">
        <v>Grazier's Garden</v>
      </c>
      <c r="B120" t="str">
        <v>Organic Fruiting Vegetables 🌶🥒🎃🍅</v>
      </c>
      <c r="C120">
        <v>805814</v>
      </c>
      <c r="D120" t="str">
        <v>Speckled Roman Tomato</v>
      </c>
      <c r="E120">
        <v>526871</v>
      </c>
      <c r="F120" t="str">
        <v>1 lb</v>
      </c>
      <c r="G120" t="str">
        <v>No</v>
      </c>
      <c r="H120" s="2">
        <v>4.25</v>
      </c>
      <c r="J120" s="1">
        <v>0.45</v>
      </c>
      <c r="K120" s="1">
        <v>1</v>
      </c>
      <c r="L120" t="str">
        <v>Under 1 week / high loss</v>
      </c>
      <c r="M120" t="str">
        <v>Tender or ripe fruiting vegetable</v>
      </c>
      <c r="N120" s="2">
        <v>6.16</v>
      </c>
      <c r="O120" s="2">
        <v>8.5</v>
      </c>
      <c r="P120" s="2">
        <v>2.34</v>
      </c>
      <c r="Q120" s="1">
        <v>0.3798701298701299</v>
      </c>
      <c r="R120">
        <v>0</v>
      </c>
      <c r="S120" s="2">
        <v>0</v>
      </c>
      <c r="T120" s="2">
        <v>0</v>
      </c>
      <c r="U120" s="1">
        <v>0.45</v>
      </c>
      <c r="V120" t="str">
        <v>No</v>
      </c>
      <c r="W120" s="1">
        <v>0</v>
      </c>
      <c r="X120" t="str">
        <v>No</v>
      </c>
      <c r="Y120" t="str">
        <v>REVIEW hidden / seasonal</v>
      </c>
      <c r="Z120" t="str">
        <v/>
      </c>
      <c r="AA120" t="str">
        <v/>
      </c>
    </row>
    <row r="121">
      <c r="A121" t="str">
        <v>Grazier's Garden</v>
      </c>
      <c r="B121" t="str">
        <v>Organic Fruiting Vegetables 🌶🥒🎃🍅</v>
      </c>
      <c r="C121">
        <v>805841</v>
      </c>
      <c r="D121" t="str">
        <v>Yellow Summer Squash</v>
      </c>
      <c r="E121">
        <v>526899</v>
      </c>
      <c r="F121" t="str">
        <v>1 lb</v>
      </c>
      <c r="G121" t="str">
        <v>No</v>
      </c>
      <c r="H121" s="2">
        <v>2</v>
      </c>
      <c r="J121" s="1">
        <v>0.45</v>
      </c>
      <c r="K121" s="1">
        <v>1</v>
      </c>
      <c r="L121" t="str">
        <v>Under 1 week / high loss</v>
      </c>
      <c r="M121" t="str">
        <v>Tender or ripe fruiting vegetable</v>
      </c>
      <c r="N121" s="2">
        <v>2.9</v>
      </c>
      <c r="O121" s="2">
        <v>4</v>
      </c>
      <c r="P121" s="2">
        <v>1.1</v>
      </c>
      <c r="Q121" s="1">
        <v>0.3793103448275863</v>
      </c>
      <c r="R121">
        <v>0</v>
      </c>
      <c r="S121" s="2">
        <v>0</v>
      </c>
      <c r="T121" s="2">
        <v>0</v>
      </c>
      <c r="U121" s="1">
        <v>0.45</v>
      </c>
      <c r="V121" t="str">
        <v>No</v>
      </c>
      <c r="W121" s="1">
        <v>0</v>
      </c>
      <c r="X121" t="str">
        <v>No</v>
      </c>
      <c r="Y121" t="str">
        <v>REVIEW hidden / seasonal</v>
      </c>
      <c r="Z121" t="str">
        <v/>
      </c>
      <c r="AA121" t="str">
        <v/>
      </c>
    </row>
    <row r="122">
      <c r="A122" t="str">
        <v>Little Wings</v>
      </c>
      <c r="B122" t="str">
        <v>Organic Fruiting Vegetables 🌶🥒🎃🍅</v>
      </c>
      <c r="C122">
        <v>805893</v>
      </c>
      <c r="D122" t="str">
        <v>Fava Beans</v>
      </c>
      <c r="E122">
        <v>526952</v>
      </c>
      <c r="F122" t="str">
        <v>1 lb</v>
      </c>
      <c r="G122" t="str">
        <v>No</v>
      </c>
      <c r="H122" s="2">
        <v>2.2</v>
      </c>
      <c r="J122" s="1">
        <v>0.45</v>
      </c>
      <c r="K122" s="1">
        <v>1</v>
      </c>
      <c r="L122" t="str">
        <v>Under 1 week / high loss</v>
      </c>
      <c r="M122" t="str">
        <v>Tender or ripe fruiting vegetable</v>
      </c>
      <c r="N122" s="2">
        <v>3.19</v>
      </c>
      <c r="O122" s="2">
        <v>4.4</v>
      </c>
      <c r="P122" s="2">
        <v>1.21</v>
      </c>
      <c r="Q122" s="1">
        <v>0.3793103448275863</v>
      </c>
      <c r="R122">
        <v>20</v>
      </c>
      <c r="S122" s="2">
        <v>61.6</v>
      </c>
      <c r="T122" s="2">
        <v>24.2</v>
      </c>
      <c r="U122" s="1">
        <v>0.45</v>
      </c>
      <c r="V122" t="str">
        <v>No</v>
      </c>
      <c r="W122" s="1">
        <v>0</v>
      </c>
      <c r="X122" t="str">
        <v>No</v>
      </c>
      <c r="Y122" t="str">
        <v>REVIEW hidden / seasonal</v>
      </c>
      <c r="Z122" t="str">
        <v/>
      </c>
      <c r="AA122" t="str">
        <v/>
      </c>
    </row>
    <row r="123">
      <c r="A123" t="str">
        <v>Little Wings</v>
      </c>
      <c r="B123" t="str">
        <v>Organic Fruiting Vegetables 🌶🥒🎃🍅</v>
      </c>
      <c r="C123">
        <v>805979</v>
      </c>
      <c r="D123" t="str">
        <v>Green Zucchini</v>
      </c>
      <c r="E123">
        <v>527039</v>
      </c>
      <c r="F123" t="str">
        <v>1 lb</v>
      </c>
      <c r="G123" t="str">
        <v>No</v>
      </c>
      <c r="H123" s="2">
        <v>2</v>
      </c>
      <c r="J123" s="1">
        <v>0.45</v>
      </c>
      <c r="K123" s="1">
        <v>1</v>
      </c>
      <c r="L123" t="str">
        <v>Under 1 week / high loss</v>
      </c>
      <c r="M123" t="str">
        <v>Tender or ripe fruiting vegetable</v>
      </c>
      <c r="N123" s="2">
        <v>2.9</v>
      </c>
      <c r="O123" s="2">
        <v>4</v>
      </c>
      <c r="P123" s="2">
        <v>1.1</v>
      </c>
      <c r="Q123" s="1">
        <v>0.3793103448275863</v>
      </c>
      <c r="R123">
        <v>341</v>
      </c>
      <c r="S123" s="2">
        <v>1171.8</v>
      </c>
      <c r="T123" s="2">
        <v>375.1</v>
      </c>
      <c r="U123" s="1">
        <v>0.45</v>
      </c>
      <c r="V123" t="str">
        <v>No</v>
      </c>
      <c r="W123" s="1">
        <v>0</v>
      </c>
      <c r="X123" t="str">
        <v>No</v>
      </c>
      <c r="Y123" t="str">
        <v>REVIEW hidden / seasonal</v>
      </c>
      <c r="Z123" t="str">
        <v/>
      </c>
      <c r="AA123" t="str">
        <v/>
      </c>
    </row>
    <row r="124">
      <c r="A124" t="str">
        <v>Little Wings</v>
      </c>
      <c r="B124" t="str">
        <v>Organic Fruiting Vegetables 🌶🥒🎃🍅</v>
      </c>
      <c r="C124">
        <v>980311</v>
      </c>
      <c r="D124" t="str">
        <v>Green Zucchini</v>
      </c>
      <c r="E124">
        <v>748218</v>
      </c>
      <c r="F124" t="str">
        <v>1 lb</v>
      </c>
      <c r="G124" t="str">
        <v>No</v>
      </c>
      <c r="H124" s="2">
        <v>1.75</v>
      </c>
      <c r="J124" s="1">
        <v>0.45</v>
      </c>
      <c r="K124" s="1">
        <v>1</v>
      </c>
      <c r="L124" t="str">
        <v>Under 1 week / high loss</v>
      </c>
      <c r="M124" t="str">
        <v>Tender or ripe fruiting vegetable</v>
      </c>
      <c r="N124" s="2">
        <v>2.54</v>
      </c>
      <c r="O124" s="2">
        <v>3.5</v>
      </c>
      <c r="P124" s="2">
        <v>0.96</v>
      </c>
      <c r="Q124" s="1">
        <v>0.3779527559055118</v>
      </c>
      <c r="R124">
        <v>25</v>
      </c>
      <c r="S124" s="2">
        <v>61.25</v>
      </c>
      <c r="T124" s="2">
        <v>24</v>
      </c>
      <c r="U124" s="1">
        <v>0.45</v>
      </c>
      <c r="V124" t="str">
        <v>No</v>
      </c>
      <c r="W124" s="1">
        <v>0</v>
      </c>
      <c r="X124" t="str">
        <v>No</v>
      </c>
      <c r="Y124" t="str">
        <v>REVIEW hidden / seasonal</v>
      </c>
      <c r="Z124" t="str">
        <v/>
      </c>
      <c r="AA124" t="str">
        <v/>
      </c>
    </row>
    <row r="125">
      <c r="A125" t="str">
        <v>Little Wings</v>
      </c>
      <c r="B125" t="str">
        <v>Organic Fruiting Vegetables 🌶🥒🎃🍅</v>
      </c>
      <c r="C125">
        <v>994208</v>
      </c>
      <c r="D125" t="str">
        <v>Muncher Cucumber</v>
      </c>
      <c r="E125">
        <v>767741</v>
      </c>
      <c r="F125" t="str">
        <v>lb</v>
      </c>
      <c r="G125" t="str">
        <v>No</v>
      </c>
      <c r="H125" s="2">
        <v>2.5</v>
      </c>
      <c r="J125" s="1">
        <v>0.45</v>
      </c>
      <c r="K125" s="1">
        <v>1</v>
      </c>
      <c r="L125" t="str">
        <v>Under 1 week / high loss</v>
      </c>
      <c r="M125" t="str">
        <v>Tender or ripe fruiting vegetable</v>
      </c>
      <c r="N125" s="2">
        <v>3.63</v>
      </c>
      <c r="O125" s="2">
        <v>5</v>
      </c>
      <c r="P125" s="2">
        <v>1.37</v>
      </c>
      <c r="Q125" s="1">
        <v>0.3774104683195594</v>
      </c>
      <c r="R125">
        <v>88</v>
      </c>
      <c r="S125" s="2">
        <v>308</v>
      </c>
      <c r="T125" s="2">
        <v>120.56</v>
      </c>
      <c r="U125" s="1">
        <v>0.45</v>
      </c>
      <c r="V125" t="str">
        <v>No</v>
      </c>
      <c r="W125" s="1">
        <v>0</v>
      </c>
      <c r="X125" t="str">
        <v>No</v>
      </c>
      <c r="Y125" t="str">
        <v>REVIEW hidden / seasonal</v>
      </c>
      <c r="Z125" t="str">
        <v/>
      </c>
      <c r="AA125" t="str">
        <v/>
      </c>
    </row>
    <row r="126">
      <c r="A126" t="str">
        <v>Little Wings</v>
      </c>
      <c r="B126" t="str">
        <v>Organic Fruiting Vegetables 🌶🥒🎃🍅</v>
      </c>
      <c r="C126">
        <v>981427</v>
      </c>
      <c r="D126" t="str">
        <v>Romano Beans</v>
      </c>
      <c r="E126">
        <v>749860</v>
      </c>
      <c r="F126" t="str">
        <v>1lb</v>
      </c>
      <c r="G126" t="str">
        <v>No</v>
      </c>
      <c r="H126" s="2">
        <v>4</v>
      </c>
      <c r="J126" s="1">
        <v>0.45</v>
      </c>
      <c r="K126" s="1">
        <v>1</v>
      </c>
      <c r="L126" t="str">
        <v>Under 1 week / high loss</v>
      </c>
      <c r="M126" t="str">
        <v>Tender or ripe fruiting vegetable</v>
      </c>
      <c r="N126" s="2">
        <v>5.8</v>
      </c>
      <c r="O126" s="2">
        <v>8</v>
      </c>
      <c r="P126" s="2">
        <v>2.2</v>
      </c>
      <c r="Q126" s="1">
        <v>0.3793103448275863</v>
      </c>
      <c r="R126">
        <v>8</v>
      </c>
      <c r="S126" s="2">
        <v>44.8</v>
      </c>
      <c r="T126" s="2">
        <v>17.6</v>
      </c>
      <c r="U126" s="1">
        <v>0.45</v>
      </c>
      <c r="V126" t="str">
        <v>No</v>
      </c>
      <c r="W126" s="1">
        <v>0</v>
      </c>
      <c r="X126" t="str">
        <v>No</v>
      </c>
      <c r="Y126" t="str">
        <v>REVIEW hidden / seasonal</v>
      </c>
      <c r="Z126" t="str">
        <v/>
      </c>
      <c r="AA126" t="str">
        <v/>
      </c>
    </row>
    <row r="127">
      <c r="A127" t="str">
        <v>Little Wings</v>
      </c>
      <c r="B127" t="str">
        <v>Organic Fruiting Vegetables 🌶🥒🎃🍅</v>
      </c>
      <c r="C127">
        <v>805941</v>
      </c>
      <c r="D127" t="str">
        <v>Sugar Snap Peas</v>
      </c>
      <c r="E127">
        <v>527001</v>
      </c>
      <c r="F127" t="str">
        <v>1 lb</v>
      </c>
      <c r="G127" t="str">
        <v>No</v>
      </c>
      <c r="H127" s="2">
        <v>6.5</v>
      </c>
      <c r="J127" s="1">
        <v>0.45</v>
      </c>
      <c r="K127" s="1">
        <v>1</v>
      </c>
      <c r="L127" t="str">
        <v>Under 1 week / high loss</v>
      </c>
      <c r="M127" t="str">
        <v>Tender or ripe fruiting vegetable</v>
      </c>
      <c r="N127" s="2">
        <v>9.42</v>
      </c>
      <c r="O127" s="2">
        <v>13</v>
      </c>
      <c r="P127" s="2">
        <v>3.58</v>
      </c>
      <c r="Q127" s="1">
        <v>0.38004246284501053</v>
      </c>
      <c r="R127">
        <v>29</v>
      </c>
      <c r="S127" s="2">
        <v>263.9</v>
      </c>
      <c r="T127" s="2">
        <v>103.82</v>
      </c>
      <c r="U127" s="1">
        <v>0.45</v>
      </c>
      <c r="V127" t="str">
        <v>No</v>
      </c>
      <c r="W127" s="1">
        <v>0</v>
      </c>
      <c r="X127" t="str">
        <v>No</v>
      </c>
      <c r="Y127" t="str">
        <v>REVIEW hidden / seasonal</v>
      </c>
      <c r="Z127" t="str">
        <v/>
      </c>
      <c r="AA127" t="str">
        <v/>
      </c>
    </row>
    <row r="128">
      <c r="A128" t="str">
        <v>Little Wings</v>
      </c>
      <c r="B128" t="str">
        <v>Organic Fruiting Vegetables 🌶🥒🎃🍅</v>
      </c>
      <c r="C128">
        <v>977972</v>
      </c>
      <c r="D128" t="str">
        <v>Sugar Snap Peas</v>
      </c>
      <c r="E128">
        <v>744552</v>
      </c>
      <c r="F128" t="str">
        <v>1 pint</v>
      </c>
      <c r="G128" t="str">
        <v>No</v>
      </c>
      <c r="H128" s="2">
        <v>2.7</v>
      </c>
      <c r="J128" s="1">
        <v>0.45</v>
      </c>
      <c r="K128" s="1">
        <v>1</v>
      </c>
      <c r="L128" t="str">
        <v>Under 1 week / high loss</v>
      </c>
      <c r="M128" t="str">
        <v>Tender or ripe fruiting vegetable</v>
      </c>
      <c r="N128" s="2">
        <v>3.92</v>
      </c>
      <c r="O128" s="2">
        <v>5.4</v>
      </c>
      <c r="P128" s="2">
        <v>1.48</v>
      </c>
      <c r="Q128" s="1">
        <v>0.37755102040816335</v>
      </c>
      <c r="R128">
        <v>0</v>
      </c>
      <c r="S128" s="2">
        <v>0</v>
      </c>
      <c r="T128" s="2">
        <v>0</v>
      </c>
      <c r="U128" s="1">
        <v>0.45</v>
      </c>
      <c r="V128" t="str">
        <v>No</v>
      </c>
      <c r="W128" s="1">
        <v>0</v>
      </c>
      <c r="X128" t="str">
        <v>No</v>
      </c>
      <c r="Y128" t="str">
        <v>REVIEW hidden / seasonal</v>
      </c>
      <c r="Z128" t="str">
        <v/>
      </c>
      <c r="AA128" t="str">
        <v/>
      </c>
    </row>
    <row r="129">
      <c r="A129" t="str">
        <v>Little Wings</v>
      </c>
      <c r="B129" t="str">
        <v>Organic Fruiting Vegetables 🌶🥒🎃🍅</v>
      </c>
      <c r="C129">
        <v>903477</v>
      </c>
      <c r="D129" t="str">
        <v>Toybox Cherry Tomatoes</v>
      </c>
      <c r="E129">
        <v>646322</v>
      </c>
      <c r="F129" t="str">
        <v>1 pt</v>
      </c>
      <c r="G129" t="str">
        <v>No</v>
      </c>
      <c r="H129" s="2">
        <v>4.2</v>
      </c>
      <c r="J129" s="1">
        <v>0.45</v>
      </c>
      <c r="K129" s="1">
        <v>1</v>
      </c>
      <c r="L129" t="str">
        <v>Under 1 week / high loss</v>
      </c>
      <c r="M129" t="str">
        <v>Tender or ripe fruiting vegetable</v>
      </c>
      <c r="N129" s="2">
        <v>6.09</v>
      </c>
      <c r="O129" s="2">
        <v>8.4</v>
      </c>
      <c r="P129" s="2">
        <v>2.31</v>
      </c>
      <c r="Q129" s="1">
        <v>0.3793103448275863</v>
      </c>
      <c r="R129">
        <v>61</v>
      </c>
      <c r="S129" s="2">
        <v>358.68</v>
      </c>
      <c r="T129" s="2">
        <v>140.91</v>
      </c>
      <c r="U129" s="1">
        <v>0.45</v>
      </c>
      <c r="V129" t="str">
        <v>No</v>
      </c>
      <c r="W129" s="1">
        <v>0</v>
      </c>
      <c r="X129" t="str">
        <v>No</v>
      </c>
      <c r="Y129" t="str">
        <v>REVIEW hidden / seasonal</v>
      </c>
      <c r="Z129" t="str">
        <v/>
      </c>
      <c r="AA129" t="str">
        <v/>
      </c>
    </row>
    <row r="130">
      <c r="A130" t="str">
        <v>Red Tail Growers</v>
      </c>
      <c r="B130" t="str">
        <v>Organic Fruiting Vegetables 🌶🥒🎃🍅</v>
      </c>
      <c r="C130">
        <v>805922</v>
      </c>
      <c r="D130" t="str">
        <v>Green Tomatoes</v>
      </c>
      <c r="E130">
        <v>526982</v>
      </c>
      <c r="F130" t="str">
        <v>1 lb</v>
      </c>
      <c r="G130" t="str">
        <v>No</v>
      </c>
      <c r="H130" s="2">
        <v>2</v>
      </c>
      <c r="J130" s="1">
        <v>0.45</v>
      </c>
      <c r="K130" s="1">
        <v>1</v>
      </c>
      <c r="L130" t="str">
        <v>Under 1 week / high loss</v>
      </c>
      <c r="M130" t="str">
        <v>Tender or ripe fruiting vegetable</v>
      </c>
      <c r="N130" s="2">
        <v>2.9</v>
      </c>
      <c r="O130" s="2">
        <v>4</v>
      </c>
      <c r="P130" s="2">
        <v>1.1</v>
      </c>
      <c r="Q130" s="1">
        <v>0.3793103448275863</v>
      </c>
      <c r="R130">
        <v>3</v>
      </c>
      <c r="S130" s="2">
        <v>8.4</v>
      </c>
      <c r="T130" s="2">
        <v>3.3</v>
      </c>
      <c r="U130" s="1">
        <v>0.45</v>
      </c>
      <c r="V130" t="str">
        <v>No</v>
      </c>
      <c r="W130" s="1">
        <v>0</v>
      </c>
      <c r="X130" t="str">
        <v>No</v>
      </c>
      <c r="Y130" t="str">
        <v>REVIEW hidden / seasonal</v>
      </c>
      <c r="Z130" t="str">
        <v/>
      </c>
      <c r="AA130" t="str">
        <v/>
      </c>
    </row>
    <row r="131">
      <c r="A131" t="str">
        <v>Red Tail Growers</v>
      </c>
      <c r="B131" t="str">
        <v>Organic Fruiting Vegetables 🌶🥒🎃🍅</v>
      </c>
      <c r="C131">
        <v>999641</v>
      </c>
      <c r="D131" t="str">
        <v>Heirloom Tomatoes</v>
      </c>
      <c r="E131">
        <v>776519</v>
      </c>
      <c r="F131" t="str">
        <v>pound</v>
      </c>
      <c r="G131" t="str">
        <v>Yes</v>
      </c>
      <c r="H131" s="2">
        <v>3.2</v>
      </c>
      <c r="J131" s="1">
        <v>0.45</v>
      </c>
      <c r="K131" s="1">
        <v>1</v>
      </c>
      <c r="L131" t="str">
        <v>Under 1 week / high loss</v>
      </c>
      <c r="M131" t="str">
        <v>Tender or ripe fruiting vegetable</v>
      </c>
      <c r="N131" s="2">
        <v>4.64</v>
      </c>
      <c r="O131" s="2">
        <v>6.4</v>
      </c>
      <c r="P131" s="2">
        <v>1.76</v>
      </c>
      <c r="Q131" s="1">
        <v>0.3793103448275863</v>
      </c>
      <c r="R131">
        <v>296</v>
      </c>
      <c r="S131" s="2">
        <v>1556.94</v>
      </c>
      <c r="T131" s="2">
        <v>520.96</v>
      </c>
      <c r="U131" s="1">
        <v>0.45</v>
      </c>
      <c r="V131" t="str">
        <v>No</v>
      </c>
      <c r="W131" s="1">
        <v>0</v>
      </c>
      <c r="X131" t="str">
        <v>No</v>
      </c>
      <c r="Y131" t="str">
        <v>Candidate</v>
      </c>
      <c r="Z131" t="str">
        <v/>
      </c>
      <c r="AA131" t="str">
        <v/>
      </c>
    </row>
    <row r="132">
      <c r="A132" t="str">
        <v>Red Tail Growers</v>
      </c>
      <c r="B132" t="str">
        <v>Organic Fruiting Vegetables 🌶🥒🎃🍅</v>
      </c>
      <c r="C132">
        <v>806009</v>
      </c>
      <c r="D132" t="str">
        <v>Slicer Cucumbers</v>
      </c>
      <c r="E132">
        <v>527069</v>
      </c>
      <c r="F132" t="str">
        <v>1 lb</v>
      </c>
      <c r="G132" t="str">
        <v>No</v>
      </c>
      <c r="H132" s="2">
        <v>2</v>
      </c>
      <c r="J132" s="1">
        <v>0.45</v>
      </c>
      <c r="K132" s="1">
        <v>1</v>
      </c>
      <c r="L132" t="str">
        <v>Under 1 week / high loss</v>
      </c>
      <c r="M132" t="str">
        <v>Tender or ripe fruiting vegetable</v>
      </c>
      <c r="N132" s="2">
        <v>2.9</v>
      </c>
      <c r="O132" s="2">
        <v>4</v>
      </c>
      <c r="P132" s="2">
        <v>1.1</v>
      </c>
      <c r="Q132" s="1">
        <v>0.3793103448275863</v>
      </c>
      <c r="R132">
        <v>414</v>
      </c>
      <c r="S132" s="2">
        <v>1176</v>
      </c>
      <c r="T132" s="2">
        <v>455.4</v>
      </c>
      <c r="U132" s="1">
        <v>0.45</v>
      </c>
      <c r="V132" t="str">
        <v>No</v>
      </c>
      <c r="W132" s="1">
        <v>0</v>
      </c>
      <c r="X132" t="str">
        <v>No</v>
      </c>
      <c r="Y132" t="str">
        <v>REVIEW hidden / seasonal</v>
      </c>
      <c r="Z132" t="str">
        <v/>
      </c>
      <c r="AA132" t="str">
        <v/>
      </c>
    </row>
    <row r="133">
      <c r="A133" t="str">
        <v>Winter Green Farm</v>
      </c>
      <c r="B133" t="str">
        <v>Organic Fruiting Vegetables 🌶🥒🎃🍅</v>
      </c>
      <c r="C133">
        <v>805827</v>
      </c>
      <c r="D133" t="str">
        <v>Sungold Cherry Tomato Pint</v>
      </c>
      <c r="E133">
        <v>526885</v>
      </c>
      <c r="F133" t="str">
        <v>each</v>
      </c>
      <c r="G133" t="str">
        <v>No</v>
      </c>
      <c r="H133" s="2">
        <v>4</v>
      </c>
      <c r="J133" s="1">
        <v>0.45</v>
      </c>
      <c r="K133" s="1">
        <v>1</v>
      </c>
      <c r="L133" t="str">
        <v>Under 1 week / high loss</v>
      </c>
      <c r="M133" t="str">
        <v>Tender or ripe fruiting vegetable</v>
      </c>
      <c r="N133" s="2">
        <v>5.8</v>
      </c>
      <c r="O133" s="2">
        <v>8</v>
      </c>
      <c r="P133" s="2">
        <v>2.2</v>
      </c>
      <c r="Q133" s="1">
        <v>0.3793103448275863</v>
      </c>
      <c r="R133">
        <v>376</v>
      </c>
      <c r="S133" s="2">
        <v>2307.9</v>
      </c>
      <c r="T133" s="2">
        <v>827.2</v>
      </c>
      <c r="U133" s="1">
        <v>0.45</v>
      </c>
      <c r="V133" t="str">
        <v>No</v>
      </c>
      <c r="W133" s="1">
        <v>0</v>
      </c>
      <c r="X133" t="str">
        <v>No</v>
      </c>
      <c r="Y133" t="str">
        <v>REVIEW hidden / seasonal</v>
      </c>
      <c r="Z133" t="str">
        <v/>
      </c>
      <c r="AA133" t="str">
        <v/>
      </c>
    </row>
    <row r="134">
      <c r="A134" t="str">
        <v>(missing vendor)</v>
      </c>
      <c r="B134" t="str">
        <v>Organic Mushrooms 🍄‍🟫</v>
      </c>
      <c r="C134">
        <v>825306</v>
      </c>
      <c r="D134" t="str">
        <v>Chanterelle mushrooms</v>
      </c>
      <c r="E134">
        <v>549220</v>
      </c>
      <c r="F134" t="str">
        <v>1/2 lb</v>
      </c>
      <c r="G134" t="str">
        <v>No</v>
      </c>
      <c r="H134" s="2">
        <v>8.5</v>
      </c>
      <c r="K134" s="1">
        <v>1</v>
      </c>
      <c r="L134" t="str">
        <v>Under 1 week / high loss</v>
      </c>
      <c r="M134" t="str">
        <v>Fresh mushrooms</v>
      </c>
      <c r="O134" s="2">
        <v>17</v>
      </c>
      <c r="R134">
        <v>0</v>
      </c>
      <c r="S134" s="2">
        <v>0</v>
      </c>
      <c r="V134" t="str">
        <v>No</v>
      </c>
      <c r="W134" s="1">
        <v>0</v>
      </c>
      <c r="X134" t="str">
        <v>No</v>
      </c>
      <c r="Y134" t="str">
        <v>HOLD missing vendor</v>
      </c>
      <c r="Z134" t="str">
        <v/>
      </c>
      <c r="AA134" t="str">
        <v/>
      </c>
    </row>
    <row r="135">
      <c r="A135" t="str">
        <v>(missing vendor)</v>
      </c>
      <c r="B135" t="str">
        <v>Organic Mushrooms 🍄‍🟫</v>
      </c>
      <c r="C135">
        <v>825305</v>
      </c>
      <c r="D135" t="str">
        <v>Matsutake mushrooms</v>
      </c>
      <c r="E135">
        <v>549219</v>
      </c>
      <c r="F135" t="str">
        <v>1/2 lb</v>
      </c>
      <c r="G135" t="str">
        <v>No</v>
      </c>
      <c r="H135" s="2">
        <v>11.25</v>
      </c>
      <c r="K135" s="1">
        <v>1</v>
      </c>
      <c r="L135" t="str">
        <v>Under 1 week / high loss</v>
      </c>
      <c r="M135" t="str">
        <v>Fresh mushrooms</v>
      </c>
      <c r="O135" s="2">
        <v>22.5</v>
      </c>
      <c r="R135">
        <v>0</v>
      </c>
      <c r="S135" s="2">
        <v>0</v>
      </c>
      <c r="V135" t="str">
        <v>No</v>
      </c>
      <c r="W135" s="1">
        <v>0</v>
      </c>
      <c r="X135" t="str">
        <v>No</v>
      </c>
      <c r="Y135" t="str">
        <v>HOLD missing vendor</v>
      </c>
      <c r="Z135" t="str">
        <v/>
      </c>
      <c r="AA135" t="str">
        <v/>
      </c>
    </row>
    <row r="136">
      <c r="A136" t="str">
        <v>Organically Grown Company</v>
      </c>
      <c r="B136" t="str">
        <v>Organic Mushrooms 🍄‍🟫</v>
      </c>
      <c r="C136">
        <v>805875</v>
      </c>
      <c r="D136" t="str">
        <v>Crimini Mushrooms</v>
      </c>
      <c r="E136">
        <v>526933</v>
      </c>
      <c r="F136" t="str">
        <v>1 lb</v>
      </c>
      <c r="G136" t="str">
        <v>Yes</v>
      </c>
      <c r="H136" s="2">
        <v>3.95</v>
      </c>
      <c r="J136" s="1">
        <v>0.45</v>
      </c>
      <c r="K136" s="1">
        <v>1</v>
      </c>
      <c r="L136" t="str">
        <v>Under 1 week / high loss</v>
      </c>
      <c r="M136" t="str">
        <v>Fresh mushrooms</v>
      </c>
      <c r="N136" s="2">
        <v>5.73</v>
      </c>
      <c r="O136" s="2">
        <v>7.9</v>
      </c>
      <c r="P136" s="2">
        <v>2.17</v>
      </c>
      <c r="Q136" s="1">
        <v>0.37870855148342053</v>
      </c>
      <c r="R136">
        <v>922</v>
      </c>
      <c r="S136" s="2">
        <v>5104.56</v>
      </c>
      <c r="T136" s="2">
        <v>2000.74</v>
      </c>
      <c r="U136" s="1">
        <v>0.45</v>
      </c>
      <c r="V136" t="str">
        <v>No</v>
      </c>
      <c r="W136" s="1">
        <v>0</v>
      </c>
      <c r="X136" t="str">
        <v>No</v>
      </c>
      <c r="Y136" t="str">
        <v>Candidate</v>
      </c>
      <c r="Z136" t="str">
        <v/>
      </c>
      <c r="AA136" t="str">
        <v/>
      </c>
    </row>
    <row r="137">
      <c r="A137" t="str">
        <v>Organically Grown Company</v>
      </c>
      <c r="B137" t="str">
        <v>Organic Mushrooms 🍄‍🟫</v>
      </c>
      <c r="C137">
        <v>805890</v>
      </c>
      <c r="D137" t="str">
        <v>Lions Mane Mushrooms</v>
      </c>
      <c r="E137">
        <v>526948</v>
      </c>
      <c r="F137" t="str">
        <v>1/2 lb</v>
      </c>
      <c r="G137" t="str">
        <v>No</v>
      </c>
      <c r="H137" s="2">
        <v>4.95</v>
      </c>
      <c r="J137" s="1">
        <v>0.45</v>
      </c>
      <c r="K137" s="1">
        <v>1</v>
      </c>
      <c r="L137" t="str">
        <v>Under 1 week / high loss</v>
      </c>
      <c r="M137" t="str">
        <v>Fresh mushrooms</v>
      </c>
      <c r="N137" s="2">
        <v>7.18</v>
      </c>
      <c r="O137" s="2">
        <v>9.9</v>
      </c>
      <c r="P137" s="2">
        <v>2.72</v>
      </c>
      <c r="Q137" s="1">
        <v>0.37883008356545966</v>
      </c>
      <c r="R137">
        <v>0</v>
      </c>
      <c r="S137" s="2">
        <v>0</v>
      </c>
      <c r="T137" s="2">
        <v>0</v>
      </c>
      <c r="U137" s="1">
        <v>0.45</v>
      </c>
      <c r="V137" t="str">
        <v>No</v>
      </c>
      <c r="W137" s="1">
        <v>0</v>
      </c>
      <c r="X137" t="str">
        <v>No</v>
      </c>
      <c r="Y137" t="str">
        <v>REVIEW hidden / seasonal</v>
      </c>
      <c r="Z137" t="str">
        <v/>
      </c>
      <c r="AA137" t="str">
        <v/>
      </c>
    </row>
    <row r="138">
      <c r="A138" t="str">
        <v>Organically Grown Company</v>
      </c>
      <c r="B138" t="str">
        <v>Organic Mushrooms 🍄‍🟫</v>
      </c>
      <c r="C138">
        <v>899388</v>
      </c>
      <c r="D138" t="str">
        <v>Oyster Mushrooms</v>
      </c>
      <c r="E138">
        <v>641283</v>
      </c>
      <c r="F138" t="str">
        <v>1/2 lb</v>
      </c>
      <c r="G138" t="str">
        <v>No</v>
      </c>
      <c r="H138" s="2">
        <v>3.75</v>
      </c>
      <c r="J138" s="1">
        <v>0.45</v>
      </c>
      <c r="K138" s="1">
        <v>1</v>
      </c>
      <c r="L138" t="str">
        <v>Under 1 week / high loss</v>
      </c>
      <c r="M138" t="str">
        <v>Fresh mushrooms</v>
      </c>
      <c r="N138" s="2">
        <v>5.44</v>
      </c>
      <c r="O138" s="2">
        <v>7.5</v>
      </c>
      <c r="P138" s="2">
        <v>2.06</v>
      </c>
      <c r="Q138" s="1">
        <v>0.3786764705882353</v>
      </c>
      <c r="R138">
        <v>0</v>
      </c>
      <c r="S138" s="2">
        <v>0</v>
      </c>
      <c r="T138" s="2">
        <v>0</v>
      </c>
      <c r="U138" s="1">
        <v>0.45</v>
      </c>
      <c r="V138" t="str">
        <v>No</v>
      </c>
      <c r="W138" s="1">
        <v>0</v>
      </c>
      <c r="X138" t="str">
        <v>No</v>
      </c>
      <c r="Y138" t="str">
        <v>REVIEW hidden / seasonal</v>
      </c>
      <c r="Z138" t="str">
        <v/>
      </c>
      <c r="AA138" t="str">
        <v/>
      </c>
    </row>
    <row r="139">
      <c r="A139" t="str">
        <v>Organically Grown Company</v>
      </c>
      <c r="B139" t="str">
        <v>Organic Mushrooms 🍄‍🟫</v>
      </c>
      <c r="C139">
        <v>805904</v>
      </c>
      <c r="D139" t="str">
        <v>Portabella Mushrooms</v>
      </c>
      <c r="E139">
        <v>526962</v>
      </c>
      <c r="F139" t="str">
        <v>each</v>
      </c>
      <c r="G139" t="str">
        <v>No</v>
      </c>
      <c r="H139" s="2">
        <v>7.25</v>
      </c>
      <c r="J139" s="1">
        <v>0.45</v>
      </c>
      <c r="K139" s="1">
        <v>1</v>
      </c>
      <c r="L139" t="str">
        <v>Under 1 week / high loss</v>
      </c>
      <c r="M139" t="str">
        <v>Fresh mushrooms</v>
      </c>
      <c r="N139" s="2">
        <v>10.51</v>
      </c>
      <c r="O139" s="2">
        <v>14.5</v>
      </c>
      <c r="P139" s="2">
        <v>3.99</v>
      </c>
      <c r="Q139" s="1">
        <v>0.379638439581351</v>
      </c>
      <c r="R139">
        <v>0</v>
      </c>
      <c r="S139" s="2">
        <v>0</v>
      </c>
      <c r="T139" s="2">
        <v>0</v>
      </c>
      <c r="U139" s="1">
        <v>0.45</v>
      </c>
      <c r="V139" t="str">
        <v>No</v>
      </c>
      <c r="W139" s="1">
        <v>0</v>
      </c>
      <c r="X139" t="str">
        <v>No</v>
      </c>
      <c r="Y139" t="str">
        <v>REVIEW hidden / seasonal</v>
      </c>
      <c r="Z139" t="str">
        <v/>
      </c>
      <c r="AA139" t="str">
        <v/>
      </c>
    </row>
    <row r="140">
      <c r="A140" t="str">
        <v>Organically Grown Company</v>
      </c>
      <c r="B140" t="str">
        <v>Organic Mushrooms 🍄‍🟫</v>
      </c>
      <c r="C140">
        <v>805927</v>
      </c>
      <c r="D140" t="str">
        <v>Shiitake Mushrooms</v>
      </c>
      <c r="E140">
        <v>526987</v>
      </c>
      <c r="F140" t="str">
        <v>1/2 lb</v>
      </c>
      <c r="G140" t="str">
        <v>Yes</v>
      </c>
      <c r="H140" s="2">
        <v>4.08</v>
      </c>
      <c r="J140" s="1">
        <v>0.45</v>
      </c>
      <c r="K140" s="1">
        <v>1</v>
      </c>
      <c r="L140" t="str">
        <v>Under 1 week / high loss</v>
      </c>
      <c r="M140" t="str">
        <v>Fresh mushrooms</v>
      </c>
      <c r="N140" s="2">
        <v>5.92</v>
      </c>
      <c r="O140" s="2">
        <v>8.16</v>
      </c>
      <c r="P140" s="2">
        <v>2.24</v>
      </c>
      <c r="Q140" s="1">
        <v>0.3783783783783785</v>
      </c>
      <c r="R140">
        <v>763</v>
      </c>
      <c r="S140" s="2">
        <v>4367.1</v>
      </c>
      <c r="T140" s="2">
        <v>1709.12</v>
      </c>
      <c r="U140" s="1">
        <v>0.45</v>
      </c>
      <c r="V140" t="str">
        <v>No</v>
      </c>
      <c r="W140" s="1">
        <v>0</v>
      </c>
      <c r="X140" t="str">
        <v>No</v>
      </c>
      <c r="Y140" t="str">
        <v>Candidate</v>
      </c>
      <c r="Z140" t="str">
        <v/>
      </c>
      <c r="AA140" t="str">
        <v/>
      </c>
    </row>
    <row r="141">
      <c r="A141" t="str">
        <v>Grazier's Garden</v>
      </c>
      <c r="B141" t="str">
        <v>Organic Vegetables - Herbs 🌿</v>
      </c>
      <c r="C141">
        <v>993775</v>
      </c>
      <c r="D141" t="str">
        <v>Dried English Lavender</v>
      </c>
      <c r="E141">
        <v>766895</v>
      </c>
      <c r="F141" t="str">
        <v>ea</v>
      </c>
      <c r="G141" t="str">
        <v>No</v>
      </c>
      <c r="H141" s="2">
        <v>3.4</v>
      </c>
      <c r="J141" s="1">
        <v>0.45</v>
      </c>
      <c r="K141" s="1">
        <v>0.45</v>
      </c>
      <c r="L141" t="str">
        <v>1 month+ / preserved</v>
      </c>
      <c r="M141" t="str">
        <v>Frozen, dried, or cured</v>
      </c>
      <c r="N141" s="2">
        <v>4.93</v>
      </c>
      <c r="O141" s="2">
        <v>4.93</v>
      </c>
      <c r="P141" s="2">
        <v>0</v>
      </c>
      <c r="Q141" s="1">
        <v>0</v>
      </c>
      <c r="R141">
        <v>0</v>
      </c>
      <c r="S141" s="2">
        <v>0</v>
      </c>
      <c r="T141" s="2">
        <v>0</v>
      </c>
      <c r="U141" s="1">
        <v>0.45</v>
      </c>
      <c r="V141" t="str">
        <v>No</v>
      </c>
      <c r="W141" s="1">
        <v>0</v>
      </c>
      <c r="X141" t="str">
        <v>No</v>
      </c>
      <c r="Y141" t="str">
        <v>REVIEW hidden / seasonal</v>
      </c>
      <c r="Z141" t="str">
        <v/>
      </c>
      <c r="AA141" t="str">
        <v/>
      </c>
    </row>
    <row r="142">
      <c r="A142" t="str">
        <v>Grazier's Garden</v>
      </c>
      <c r="B142" t="str">
        <v>Organic Vegetables - Herbs 🌿</v>
      </c>
      <c r="C142">
        <v>995640</v>
      </c>
      <c r="D142" t="str">
        <v>Fresh Chocolate Mint</v>
      </c>
      <c r="E142">
        <v>770068</v>
      </c>
      <c r="F142" t="str">
        <v>bu</v>
      </c>
      <c r="G142" t="str">
        <v>No</v>
      </c>
      <c r="H142" s="2">
        <v>2.5</v>
      </c>
      <c r="J142" s="1">
        <v>0.45</v>
      </c>
      <c r="K142" s="1">
        <v>1</v>
      </c>
      <c r="L142" t="str">
        <v>Under 1 week / high loss</v>
      </c>
      <c r="M142" t="str">
        <v>Fresh herbs and flowers wilt quickly</v>
      </c>
      <c r="N142" s="2">
        <v>3.63</v>
      </c>
      <c r="O142" s="2">
        <v>5</v>
      </c>
      <c r="P142" s="2">
        <v>1.37</v>
      </c>
      <c r="Q142" s="1">
        <v>0.3774104683195594</v>
      </c>
      <c r="R142">
        <v>5</v>
      </c>
      <c r="S142" s="2">
        <v>17.5</v>
      </c>
      <c r="T142" s="2">
        <v>6.85</v>
      </c>
      <c r="U142" s="1">
        <v>0.45</v>
      </c>
      <c r="V142" t="str">
        <v>No</v>
      </c>
      <c r="W142" s="1">
        <v>0</v>
      </c>
      <c r="X142" t="str">
        <v>No</v>
      </c>
      <c r="Y142" t="str">
        <v>REVIEW hidden / seasonal</v>
      </c>
      <c r="Z142" t="str">
        <v/>
      </c>
      <c r="AA142" t="str">
        <v/>
      </c>
    </row>
    <row r="143">
      <c r="A143" t="str">
        <v>Grazier's Garden</v>
      </c>
      <c r="B143" t="str">
        <v>Organic Vegetables - Herbs 🌿</v>
      </c>
      <c r="C143">
        <v>1004523</v>
      </c>
      <c r="D143" t="str">
        <v>Fresh Cilantro</v>
      </c>
      <c r="E143">
        <v>784559</v>
      </c>
      <c r="F143" t="str">
        <v>bunch</v>
      </c>
      <c r="G143" t="str">
        <v>No</v>
      </c>
      <c r="H143" s="2">
        <v>3</v>
      </c>
      <c r="J143" s="1">
        <v>0.45</v>
      </c>
      <c r="K143" s="1">
        <v>1</v>
      </c>
      <c r="L143" t="str">
        <v>Under 1 week / high loss</v>
      </c>
      <c r="M143" t="str">
        <v>Fresh herbs and flowers wilt quickly</v>
      </c>
      <c r="N143" s="2">
        <v>4.35</v>
      </c>
      <c r="O143" s="2">
        <v>6</v>
      </c>
      <c r="P143" s="2">
        <v>1.65</v>
      </c>
      <c r="Q143" s="1">
        <v>0.3793103448275863</v>
      </c>
      <c r="R143">
        <v>119</v>
      </c>
      <c r="S143" s="2">
        <v>469.44</v>
      </c>
      <c r="T143" s="2">
        <v>196.35</v>
      </c>
      <c r="U143" s="1">
        <v>0.45</v>
      </c>
      <c r="V143" t="str">
        <v>No</v>
      </c>
      <c r="W143" s="1">
        <v>0</v>
      </c>
      <c r="X143" t="str">
        <v>No</v>
      </c>
      <c r="Y143" t="str">
        <v>REVIEW hidden / seasonal</v>
      </c>
      <c r="Z143" t="str">
        <v/>
      </c>
      <c r="AA143" t="str">
        <v/>
      </c>
    </row>
    <row r="144">
      <c r="A144" t="str">
        <v>Grazier's Garden</v>
      </c>
      <c r="B144" t="str">
        <v>Organic Vegetables - Herbs 🌿</v>
      </c>
      <c r="C144">
        <v>982957</v>
      </c>
      <c r="D144" t="str">
        <v>Fresh Lavender</v>
      </c>
      <c r="E144">
        <v>751661</v>
      </c>
      <c r="F144" t="str">
        <v>bu</v>
      </c>
      <c r="G144" t="str">
        <v>No</v>
      </c>
      <c r="H144" s="2">
        <v>3.75</v>
      </c>
      <c r="J144" s="1">
        <v>0.45</v>
      </c>
      <c r="K144" s="1">
        <v>1</v>
      </c>
      <c r="L144" t="str">
        <v>Under 1 week / high loss</v>
      </c>
      <c r="M144" t="str">
        <v>Fresh herbs and flowers wilt quickly</v>
      </c>
      <c r="N144" s="2">
        <v>5.44</v>
      </c>
      <c r="O144" s="2">
        <v>7.5</v>
      </c>
      <c r="P144" s="2">
        <v>2.06</v>
      </c>
      <c r="Q144" s="1">
        <v>0.3786764705882353</v>
      </c>
      <c r="R144">
        <v>0</v>
      </c>
      <c r="S144" s="2">
        <v>0</v>
      </c>
      <c r="T144" s="2">
        <v>0</v>
      </c>
      <c r="U144" s="1">
        <v>0.45</v>
      </c>
      <c r="V144" t="str">
        <v>No</v>
      </c>
      <c r="W144" s="1">
        <v>0</v>
      </c>
      <c r="X144" t="str">
        <v>No</v>
      </c>
      <c r="Y144" t="str">
        <v>REVIEW hidden / seasonal</v>
      </c>
      <c r="Z144" t="str">
        <v/>
      </c>
      <c r="AA144" t="str">
        <v/>
      </c>
    </row>
    <row r="145">
      <c r="A145" t="str">
        <v>Red Tail Growers</v>
      </c>
      <c r="B145" t="str">
        <v>Organic Vegetables - Herbs 🌿</v>
      </c>
      <c r="C145">
        <v>964208</v>
      </c>
      <c r="D145" t="str">
        <v>Chive Flower</v>
      </c>
      <c r="E145">
        <v>725643</v>
      </c>
      <c r="F145" t="str">
        <v>bu</v>
      </c>
      <c r="G145" t="str">
        <v>No</v>
      </c>
      <c r="H145" s="2">
        <v>2</v>
      </c>
      <c r="J145" s="1">
        <v>0.45</v>
      </c>
      <c r="K145" s="1">
        <v>1</v>
      </c>
      <c r="L145" t="str">
        <v>Under 1 week / high loss</v>
      </c>
      <c r="M145" t="str">
        <v>Fresh herbs and flowers wilt quickly</v>
      </c>
      <c r="N145" s="2">
        <v>2.9</v>
      </c>
      <c r="O145" s="2">
        <v>4</v>
      </c>
      <c r="P145" s="2">
        <v>1.1</v>
      </c>
      <c r="Q145" s="1">
        <v>0.3793103448275863</v>
      </c>
      <c r="R145">
        <v>0</v>
      </c>
      <c r="S145" s="2">
        <v>0</v>
      </c>
      <c r="T145" s="2">
        <v>0</v>
      </c>
      <c r="U145" s="1">
        <v>0.45</v>
      </c>
      <c r="V145" t="str">
        <v>No</v>
      </c>
      <c r="W145" s="1">
        <v>0</v>
      </c>
      <c r="X145" t="str">
        <v>No</v>
      </c>
      <c r="Y145" t="str">
        <v>REVIEW hidden / seasonal</v>
      </c>
      <c r="Z145" t="str">
        <v/>
      </c>
      <c r="AA145" t="str">
        <v/>
      </c>
    </row>
    <row r="146">
      <c r="A146" t="str">
        <v>Red Tail Growers</v>
      </c>
      <c r="B146" t="str">
        <v>Organic Vegetables - Herbs 🌿</v>
      </c>
      <c r="C146">
        <v>964211</v>
      </c>
      <c r="D146" t="str">
        <v>Flowering Chervil</v>
      </c>
      <c r="E146">
        <v>725646</v>
      </c>
      <c r="F146" t="str">
        <v>bu</v>
      </c>
      <c r="G146" t="str">
        <v>No</v>
      </c>
      <c r="H146" s="2">
        <v>2</v>
      </c>
      <c r="J146" s="1">
        <v>0.45</v>
      </c>
      <c r="K146" s="1">
        <v>1</v>
      </c>
      <c r="L146" t="str">
        <v>Under 1 week / high loss</v>
      </c>
      <c r="M146" t="str">
        <v>Fresh herbs and flowers wilt quickly</v>
      </c>
      <c r="N146" s="2">
        <v>2.9</v>
      </c>
      <c r="O146" s="2">
        <v>4</v>
      </c>
      <c r="P146" s="2">
        <v>1.1</v>
      </c>
      <c r="Q146" s="1">
        <v>0.3793103448275863</v>
      </c>
      <c r="R146">
        <v>0</v>
      </c>
      <c r="S146" s="2">
        <v>0</v>
      </c>
      <c r="T146" s="2">
        <v>0</v>
      </c>
      <c r="U146" s="1">
        <v>0.45</v>
      </c>
      <c r="V146" t="str">
        <v>No</v>
      </c>
      <c r="W146" s="1">
        <v>0</v>
      </c>
      <c r="X146" t="str">
        <v>No</v>
      </c>
      <c r="Y146" t="str">
        <v>REVIEW hidden / seasonal</v>
      </c>
      <c r="Z146" t="str">
        <v/>
      </c>
      <c r="AA146" t="str">
        <v/>
      </c>
    </row>
    <row r="147">
      <c r="A147" t="str">
        <v>(missing vendor)</v>
      </c>
      <c r="B147" t="str">
        <v>Organic Vegetables - Herbs🌿</v>
      </c>
      <c r="C147">
        <v>805982</v>
      </c>
      <c r="D147" t="str">
        <v>Peppermint</v>
      </c>
      <c r="E147">
        <v>527042</v>
      </c>
      <c r="F147" t="str">
        <v>each</v>
      </c>
      <c r="G147" t="str">
        <v>No</v>
      </c>
      <c r="H147" s="2">
        <v>3.5</v>
      </c>
      <c r="K147" s="1">
        <v>1</v>
      </c>
      <c r="L147" t="str">
        <v>Under 1 week / high loss</v>
      </c>
      <c r="M147" t="str">
        <v>Fresh herbs and flowers wilt quickly</v>
      </c>
      <c r="O147" s="2">
        <v>7</v>
      </c>
      <c r="R147">
        <v>0</v>
      </c>
      <c r="S147" s="2">
        <v>0</v>
      </c>
      <c r="V147" t="str">
        <v>No</v>
      </c>
      <c r="W147" s="1">
        <v>0</v>
      </c>
      <c r="X147" t="str">
        <v>No</v>
      </c>
      <c r="Y147" t="str">
        <v>HOLD missing vendor</v>
      </c>
      <c r="Z147" t="str">
        <v/>
      </c>
      <c r="AA147" t="str">
        <v/>
      </c>
    </row>
    <row r="148">
      <c r="A148" t="str">
        <v>Grazier's Garden</v>
      </c>
      <c r="B148" t="str">
        <v>Organic Vegetables - Herbs🌿</v>
      </c>
      <c r="C148">
        <v>805891</v>
      </c>
      <c r="D148" t="str">
        <v>Edible Calendula Flower</v>
      </c>
      <c r="E148">
        <v>526949</v>
      </c>
      <c r="F148" t="str">
        <v>each</v>
      </c>
      <c r="G148" t="str">
        <v>No</v>
      </c>
      <c r="H148" s="2">
        <v>4</v>
      </c>
      <c r="J148" s="1">
        <v>0.45</v>
      </c>
      <c r="K148" s="1">
        <v>1</v>
      </c>
      <c r="L148" t="str">
        <v>Under 1 week / high loss</v>
      </c>
      <c r="M148" t="str">
        <v>Fresh herbs and flowers wilt quickly</v>
      </c>
      <c r="N148" s="2">
        <v>5.8</v>
      </c>
      <c r="O148" s="2">
        <v>8</v>
      </c>
      <c r="P148" s="2">
        <v>2.2</v>
      </c>
      <c r="Q148" s="1">
        <v>0.3793103448275863</v>
      </c>
      <c r="R148">
        <v>0</v>
      </c>
      <c r="S148" s="2">
        <v>0</v>
      </c>
      <c r="T148" s="2">
        <v>0</v>
      </c>
      <c r="U148" s="1">
        <v>0.45</v>
      </c>
      <c r="V148" t="str">
        <v>No</v>
      </c>
      <c r="W148" s="1">
        <v>0</v>
      </c>
      <c r="X148" t="str">
        <v>No</v>
      </c>
      <c r="Y148" t="str">
        <v>REVIEW hidden / seasonal</v>
      </c>
      <c r="Z148" t="str">
        <v/>
      </c>
      <c r="AA148" t="str">
        <v/>
      </c>
    </row>
    <row r="149">
      <c r="A149" t="str">
        <v>Grazier's Garden</v>
      </c>
      <c r="B149" t="str">
        <v>Organic Vegetables - Herbs🌿</v>
      </c>
      <c r="C149">
        <v>805936</v>
      </c>
      <c r="D149" t="str">
        <v>Fresh Oregano</v>
      </c>
      <c r="E149">
        <v>526996</v>
      </c>
      <c r="F149" t="str">
        <v>Bunch</v>
      </c>
      <c r="G149" t="str">
        <v>No</v>
      </c>
      <c r="H149" s="2">
        <v>2</v>
      </c>
      <c r="J149" s="1">
        <v>0.45</v>
      </c>
      <c r="K149" s="1">
        <v>1</v>
      </c>
      <c r="L149" t="str">
        <v>Under 1 week / high loss</v>
      </c>
      <c r="M149" t="str">
        <v>Fresh herbs and flowers wilt quickly</v>
      </c>
      <c r="N149" s="2">
        <v>2.9</v>
      </c>
      <c r="O149" s="2">
        <v>4</v>
      </c>
      <c r="P149" s="2">
        <v>1.1</v>
      </c>
      <c r="Q149" s="1">
        <v>0.3793103448275863</v>
      </c>
      <c r="R149">
        <v>73</v>
      </c>
      <c r="S149" s="2">
        <v>273.72</v>
      </c>
      <c r="T149" s="2">
        <v>80.3</v>
      </c>
      <c r="U149" s="1">
        <v>0.45</v>
      </c>
      <c r="V149" t="str">
        <v>No</v>
      </c>
      <c r="W149" s="1">
        <v>0</v>
      </c>
      <c r="X149" t="str">
        <v>No</v>
      </c>
      <c r="Y149" t="str">
        <v>REVIEW hidden / seasonal</v>
      </c>
      <c r="Z149" t="str">
        <v/>
      </c>
      <c r="AA149" t="str">
        <v/>
      </c>
    </row>
    <row r="150">
      <c r="A150" t="str">
        <v>Grazier's Garden</v>
      </c>
      <c r="B150" t="str">
        <v>Organic Vegetables - Herbs🌿</v>
      </c>
      <c r="C150">
        <v>805809</v>
      </c>
      <c r="D150" t="str">
        <v>Fresh Spearmint</v>
      </c>
      <c r="E150">
        <v>526867</v>
      </c>
      <c r="F150" t="str">
        <v>Bunch</v>
      </c>
      <c r="G150" t="str">
        <v>No</v>
      </c>
      <c r="H150" s="2">
        <v>2</v>
      </c>
      <c r="J150" s="1">
        <v>0.45</v>
      </c>
      <c r="K150" s="1">
        <v>1</v>
      </c>
      <c r="L150" t="str">
        <v>Under 1 week / high loss</v>
      </c>
      <c r="M150" t="str">
        <v>Fresh herbs and flowers wilt quickly</v>
      </c>
      <c r="N150" s="2">
        <v>2.9</v>
      </c>
      <c r="O150" s="2">
        <v>4</v>
      </c>
      <c r="P150" s="2">
        <v>1.1</v>
      </c>
      <c r="Q150" s="1">
        <v>0.3793103448275863</v>
      </c>
      <c r="R150">
        <v>80</v>
      </c>
      <c r="S150" s="2">
        <v>271.6</v>
      </c>
      <c r="T150" s="2">
        <v>88</v>
      </c>
      <c r="U150" s="1">
        <v>0.45</v>
      </c>
      <c r="V150" t="str">
        <v>No</v>
      </c>
      <c r="W150" s="1">
        <v>0</v>
      </c>
      <c r="X150" t="str">
        <v>No</v>
      </c>
      <c r="Y150" t="str">
        <v>REVIEW hidden / seasonal</v>
      </c>
      <c r="Z150" t="str">
        <v/>
      </c>
      <c r="AA150" t="str">
        <v/>
      </c>
    </row>
    <row r="151">
      <c r="A151" t="str">
        <v>Grazier's Garden</v>
      </c>
      <c r="B151" t="str">
        <v>Organic Vegetables - Herbs🌿</v>
      </c>
      <c r="C151">
        <v>964210</v>
      </c>
      <c r="D151" t="str">
        <v>Fresh Thyme</v>
      </c>
      <c r="E151">
        <v>725645</v>
      </c>
      <c r="F151" t="str">
        <v>each</v>
      </c>
      <c r="G151" t="str">
        <v>No</v>
      </c>
      <c r="H151" s="2">
        <v>2.85</v>
      </c>
      <c r="J151" s="1">
        <v>0.45</v>
      </c>
      <c r="K151" s="1">
        <v>1</v>
      </c>
      <c r="L151" t="str">
        <v>Under 1 week / high loss</v>
      </c>
      <c r="M151" t="str">
        <v>Fresh herbs and flowers wilt quickly</v>
      </c>
      <c r="N151" s="2">
        <v>4.13</v>
      </c>
      <c r="O151" s="2">
        <v>5.7</v>
      </c>
      <c r="P151" s="2">
        <v>1.57</v>
      </c>
      <c r="Q151" s="1">
        <v>0.38014527845036317</v>
      </c>
      <c r="R151">
        <v>50</v>
      </c>
      <c r="S151" s="2">
        <v>183.82</v>
      </c>
      <c r="T151" s="2">
        <v>78.5</v>
      </c>
      <c r="U151" s="1">
        <v>0.45</v>
      </c>
      <c r="V151" t="str">
        <v>No</v>
      </c>
      <c r="W151" s="1">
        <v>0</v>
      </c>
      <c r="X151" t="str">
        <v>No</v>
      </c>
      <c r="Y151" t="str">
        <v>REVIEW hidden / seasonal</v>
      </c>
      <c r="Z151" t="str">
        <v/>
      </c>
      <c r="AA151" t="str">
        <v/>
      </c>
    </row>
    <row r="152">
      <c r="A152" t="str">
        <v>Little Wings</v>
      </c>
      <c r="B152" t="str">
        <v>Organic Vegetables - Herbs🌿</v>
      </c>
      <c r="C152">
        <v>883820</v>
      </c>
      <c r="D152" t="str">
        <v>Basil</v>
      </c>
      <c r="E152">
        <v>621072</v>
      </c>
      <c r="F152" t="str">
        <v>1 bu.</v>
      </c>
      <c r="G152" t="str">
        <v>No</v>
      </c>
      <c r="H152" s="2">
        <v>2.25</v>
      </c>
      <c r="J152" s="1">
        <v>0.45</v>
      </c>
      <c r="K152" s="1">
        <v>1</v>
      </c>
      <c r="L152" t="str">
        <v>Under 1 week / high loss</v>
      </c>
      <c r="M152" t="str">
        <v>Fresh herbs and flowers wilt quickly</v>
      </c>
      <c r="N152" s="2">
        <v>3.26</v>
      </c>
      <c r="O152" s="2">
        <v>4.5</v>
      </c>
      <c r="P152" s="2">
        <v>1.24</v>
      </c>
      <c r="Q152" s="1">
        <v>0.3803680981595092</v>
      </c>
      <c r="R152">
        <v>355</v>
      </c>
      <c r="S152" s="2">
        <v>1137.15</v>
      </c>
      <c r="T152" s="2">
        <v>440.2</v>
      </c>
      <c r="U152" s="1">
        <v>0.45</v>
      </c>
      <c r="V152" t="str">
        <v>No</v>
      </c>
      <c r="W152" s="1">
        <v>0</v>
      </c>
      <c r="X152" t="str">
        <v>No</v>
      </c>
      <c r="Y152" t="str">
        <v>REVIEW hidden / seasonal</v>
      </c>
      <c r="Z152" t="str">
        <v/>
      </c>
      <c r="AA152" t="str">
        <v/>
      </c>
    </row>
    <row r="153">
      <c r="A153" t="str">
        <v>Little Wings</v>
      </c>
      <c r="B153" t="str">
        <v>Organic Vegetables - Herbs🌿</v>
      </c>
      <c r="C153">
        <v>812659</v>
      </c>
      <c r="D153" t="str">
        <v>Cilantro</v>
      </c>
      <c r="E153">
        <v>534527</v>
      </c>
      <c r="F153" t="str">
        <v>bu</v>
      </c>
      <c r="G153" t="str">
        <v>No</v>
      </c>
      <c r="H153" s="2">
        <v>2</v>
      </c>
      <c r="J153" s="1">
        <v>0.45</v>
      </c>
      <c r="K153" s="1">
        <v>1</v>
      </c>
      <c r="L153" t="str">
        <v>Under 1 week / high loss</v>
      </c>
      <c r="M153" t="str">
        <v>Fresh herbs and flowers wilt quickly</v>
      </c>
      <c r="N153" s="2">
        <v>2.9</v>
      </c>
      <c r="O153" s="2">
        <v>4</v>
      </c>
      <c r="P153" s="2">
        <v>1.1</v>
      </c>
      <c r="Q153" s="1">
        <v>0.3793103448275863</v>
      </c>
      <c r="R153">
        <v>68</v>
      </c>
      <c r="S153" s="2">
        <v>184.8</v>
      </c>
      <c r="T153" s="2">
        <v>74.8</v>
      </c>
      <c r="U153" s="1">
        <v>0.45</v>
      </c>
      <c r="V153" t="str">
        <v>No</v>
      </c>
      <c r="W153" s="1">
        <v>0</v>
      </c>
      <c r="X153" t="str">
        <v>No</v>
      </c>
      <c r="Y153" t="str">
        <v>REVIEW hidden / seasonal</v>
      </c>
      <c r="Z153" t="str">
        <v/>
      </c>
      <c r="AA153" t="str">
        <v/>
      </c>
    </row>
    <row r="154">
      <c r="A154" t="str">
        <v>Little Wings</v>
      </c>
      <c r="B154" t="str">
        <v>Organic Vegetables - Herbs🌿</v>
      </c>
      <c r="C154">
        <v>805813</v>
      </c>
      <c r="D154" t="str">
        <v>Fresh Rosemary</v>
      </c>
      <c r="E154">
        <v>526870</v>
      </c>
      <c r="F154" t="str">
        <v>each</v>
      </c>
      <c r="G154" t="str">
        <v>No</v>
      </c>
      <c r="H154" s="2">
        <v>2</v>
      </c>
      <c r="J154" s="1">
        <v>0.45</v>
      </c>
      <c r="K154" s="1">
        <v>1</v>
      </c>
      <c r="L154" t="str">
        <v>Under 1 week / high loss</v>
      </c>
      <c r="M154" t="str">
        <v>Fresh herbs and flowers wilt quickly</v>
      </c>
      <c r="N154" s="2">
        <v>2.9</v>
      </c>
      <c r="O154" s="2">
        <v>4</v>
      </c>
      <c r="P154" s="2">
        <v>1.1</v>
      </c>
      <c r="Q154" s="1">
        <v>0.3793103448275863</v>
      </c>
      <c r="R154">
        <v>1</v>
      </c>
      <c r="S154" s="2">
        <v>2.8</v>
      </c>
      <c r="T154" s="2">
        <v>1.1</v>
      </c>
      <c r="U154" s="1">
        <v>0.45</v>
      </c>
      <c r="V154" t="str">
        <v>No</v>
      </c>
      <c r="W154" s="1">
        <v>0</v>
      </c>
      <c r="X154" t="str">
        <v>No</v>
      </c>
      <c r="Y154" t="str">
        <v>REVIEW hidden / seasonal</v>
      </c>
      <c r="Z154" t="str">
        <v/>
      </c>
      <c r="AA154" t="str">
        <v/>
      </c>
    </row>
    <row r="155">
      <c r="A155" t="str">
        <v>Little Wings</v>
      </c>
      <c r="B155" t="str">
        <v>Organic Vegetables - Herbs🌿</v>
      </c>
      <c r="C155">
        <v>805934</v>
      </c>
      <c r="D155" t="str">
        <v>Herb Bundle: Rosemary, Thyme and Sage Combo</v>
      </c>
      <c r="E155">
        <v>526994</v>
      </c>
      <c r="F155" t="str">
        <v>each</v>
      </c>
      <c r="G155" t="str">
        <v>No</v>
      </c>
      <c r="H155" s="2">
        <v>2</v>
      </c>
      <c r="J155" s="1">
        <v>0.45</v>
      </c>
      <c r="K155" s="1">
        <v>1</v>
      </c>
      <c r="L155" t="str">
        <v>Under 1 week / high loss</v>
      </c>
      <c r="M155" t="str">
        <v>Fresh herbs and flowers wilt quickly</v>
      </c>
      <c r="N155" s="2">
        <v>2.9</v>
      </c>
      <c r="O155" s="2">
        <v>4</v>
      </c>
      <c r="P155" s="2">
        <v>1.1</v>
      </c>
      <c r="Q155" s="1">
        <v>0.3793103448275863</v>
      </c>
      <c r="R155">
        <v>47</v>
      </c>
      <c r="S155" s="2">
        <v>129.15</v>
      </c>
      <c r="T155" s="2">
        <v>51.7</v>
      </c>
      <c r="U155" s="1">
        <v>0.45</v>
      </c>
      <c r="V155" t="str">
        <v>No</v>
      </c>
      <c r="W155" s="1">
        <v>0</v>
      </c>
      <c r="X155" t="str">
        <v>No</v>
      </c>
      <c r="Y155" t="str">
        <v>REVIEW hidden / seasonal</v>
      </c>
      <c r="Z155" t="str">
        <v/>
      </c>
      <c r="AA155" t="str">
        <v/>
      </c>
    </row>
    <row r="156">
      <c r="A156" t="str">
        <v>Little Wings</v>
      </c>
      <c r="B156" t="str">
        <v>Organic Vegetables - Herbs🌿</v>
      </c>
      <c r="C156">
        <v>805978</v>
      </c>
      <c r="D156" t="str">
        <v>Parsley</v>
      </c>
      <c r="E156">
        <v>527038</v>
      </c>
      <c r="F156" t="str">
        <v>each</v>
      </c>
      <c r="G156" t="str">
        <v>Yes</v>
      </c>
      <c r="H156" s="2">
        <v>2</v>
      </c>
      <c r="J156" s="1">
        <v>0.45</v>
      </c>
      <c r="K156" s="1">
        <v>1</v>
      </c>
      <c r="L156" t="str">
        <v>Under 1 week / high loss</v>
      </c>
      <c r="M156" t="str">
        <v>Fresh herbs and flowers wilt quickly</v>
      </c>
      <c r="N156" s="2">
        <v>2.9</v>
      </c>
      <c r="O156" s="2">
        <v>4</v>
      </c>
      <c r="P156" s="2">
        <v>1.1</v>
      </c>
      <c r="Q156" s="1">
        <v>0.3793103448275863</v>
      </c>
      <c r="R156">
        <v>154</v>
      </c>
      <c r="S156" s="2">
        <v>431.2</v>
      </c>
      <c r="T156" s="2">
        <v>169.4</v>
      </c>
      <c r="U156" s="1">
        <v>0.45</v>
      </c>
      <c r="V156" t="str">
        <v>No</v>
      </c>
      <c r="W156" s="1">
        <v>0</v>
      </c>
      <c r="X156" t="str">
        <v>No</v>
      </c>
      <c r="Y156" t="str">
        <v>Candidate</v>
      </c>
      <c r="Z156" t="str">
        <v/>
      </c>
      <c r="AA156" t="str">
        <v/>
      </c>
    </row>
    <row r="157">
      <c r="A157" t="str">
        <v>Little Wings</v>
      </c>
      <c r="B157" t="str">
        <v>Organic Vegetables - Herbs🌿</v>
      </c>
      <c r="C157">
        <v>805902</v>
      </c>
      <c r="D157" t="str">
        <v>Sage</v>
      </c>
      <c r="E157">
        <v>526960</v>
      </c>
      <c r="F157" t="str">
        <v>each</v>
      </c>
      <c r="G157" t="str">
        <v>No</v>
      </c>
      <c r="H157" s="2">
        <v>2</v>
      </c>
      <c r="J157" s="1">
        <v>0.45</v>
      </c>
      <c r="K157" s="1">
        <v>1</v>
      </c>
      <c r="L157" t="str">
        <v>Under 1 week / high loss</v>
      </c>
      <c r="M157" t="str">
        <v>Fresh herbs and flowers wilt quickly</v>
      </c>
      <c r="N157" s="2">
        <v>2.9</v>
      </c>
      <c r="O157" s="2">
        <v>4</v>
      </c>
      <c r="P157" s="2">
        <v>1.1</v>
      </c>
      <c r="Q157" s="1">
        <v>0.3793103448275863</v>
      </c>
      <c r="R157">
        <v>0</v>
      </c>
      <c r="S157" s="2">
        <v>0</v>
      </c>
      <c r="T157" s="2">
        <v>0</v>
      </c>
      <c r="U157" s="1">
        <v>0.45</v>
      </c>
      <c r="V157" t="str">
        <v>No</v>
      </c>
      <c r="W157" s="1">
        <v>0</v>
      </c>
      <c r="X157" t="str">
        <v>No</v>
      </c>
      <c r="Y157" t="str">
        <v>REVIEW hidden / seasonal</v>
      </c>
      <c r="Z157" t="str">
        <v/>
      </c>
      <c r="AA157" t="str">
        <v/>
      </c>
    </row>
    <row r="158">
      <c r="A158" t="str">
        <v>Red Tail Growers</v>
      </c>
      <c r="B158" t="str">
        <v>Organic Vegetables - Herbs🌿</v>
      </c>
      <c r="C158">
        <v>805884</v>
      </c>
      <c r="D158" t="str">
        <v>Delfino Cilantro</v>
      </c>
      <c r="E158">
        <v>526942</v>
      </c>
      <c r="F158" t="str">
        <v>each</v>
      </c>
      <c r="G158" t="str">
        <v>No</v>
      </c>
      <c r="H158" s="2">
        <v>2</v>
      </c>
      <c r="J158" s="1">
        <v>0.45</v>
      </c>
      <c r="K158" s="1">
        <v>1</v>
      </c>
      <c r="L158" t="str">
        <v>Under 1 week / high loss</v>
      </c>
      <c r="M158" t="str">
        <v>Fresh herbs and flowers wilt quickly</v>
      </c>
      <c r="N158" s="2">
        <v>2.9</v>
      </c>
      <c r="O158" s="2">
        <v>4</v>
      </c>
      <c r="P158" s="2">
        <v>1.1</v>
      </c>
      <c r="Q158" s="1">
        <v>0.3793103448275863</v>
      </c>
      <c r="R158">
        <v>0</v>
      </c>
      <c r="S158" s="2">
        <v>0</v>
      </c>
      <c r="T158" s="2">
        <v>0</v>
      </c>
      <c r="U158" s="1">
        <v>0.45</v>
      </c>
      <c r="V158" t="str">
        <v>No</v>
      </c>
      <c r="W158" s="1">
        <v>0</v>
      </c>
      <c r="X158" t="str">
        <v>No</v>
      </c>
      <c r="Y158" t="str">
        <v>REVIEW hidden / seasonal</v>
      </c>
      <c r="Z158" t="str">
        <v/>
      </c>
      <c r="AA158" t="str">
        <v/>
      </c>
    </row>
    <row r="159">
      <c r="A159" t="str">
        <v>Red Tail Growers</v>
      </c>
      <c r="B159" t="str">
        <v>Organic Vegetables - Herbs🌿</v>
      </c>
      <c r="C159">
        <v>805889</v>
      </c>
      <c r="D159" t="str">
        <v>Dill</v>
      </c>
      <c r="E159">
        <v>526947</v>
      </c>
      <c r="F159" t="str">
        <v>each</v>
      </c>
      <c r="G159" t="str">
        <v>Yes</v>
      </c>
      <c r="H159" s="2">
        <v>2</v>
      </c>
      <c r="J159" s="1">
        <v>0.45</v>
      </c>
      <c r="K159" s="1">
        <v>1</v>
      </c>
      <c r="L159" t="str">
        <v>Under 1 week / high loss</v>
      </c>
      <c r="M159" t="str">
        <v>Fresh herbs and flowers wilt quickly</v>
      </c>
      <c r="N159" s="2">
        <v>2.9</v>
      </c>
      <c r="O159" s="2">
        <v>4</v>
      </c>
      <c r="P159" s="2">
        <v>1.1</v>
      </c>
      <c r="Q159" s="1">
        <v>0.3793103448275863</v>
      </c>
      <c r="R159">
        <v>177</v>
      </c>
      <c r="S159" s="2">
        <v>499.8</v>
      </c>
      <c r="T159" s="2">
        <v>194.7</v>
      </c>
      <c r="U159" s="1">
        <v>0.45</v>
      </c>
      <c r="V159" t="str">
        <v>No</v>
      </c>
      <c r="W159" s="1">
        <v>0</v>
      </c>
      <c r="X159" t="str">
        <v>No</v>
      </c>
      <c r="Y159" t="str">
        <v>Candidate</v>
      </c>
      <c r="Z159" t="str">
        <v/>
      </c>
      <c r="AA159" t="str">
        <v/>
      </c>
    </row>
    <row r="160">
      <c r="A160" t="str">
        <v>Red Tail Growers</v>
      </c>
      <c r="B160" t="str">
        <v>Organic Vegetables - Herbs🌿</v>
      </c>
      <c r="C160">
        <v>805880</v>
      </c>
      <c r="D160" t="str">
        <v>Fresh Chives</v>
      </c>
      <c r="E160">
        <v>526938</v>
      </c>
      <c r="F160" t="str">
        <v>each</v>
      </c>
      <c r="G160" t="str">
        <v>Yes</v>
      </c>
      <c r="H160" s="2">
        <v>2</v>
      </c>
      <c r="J160" s="1">
        <v>0.45</v>
      </c>
      <c r="K160" s="1">
        <v>1</v>
      </c>
      <c r="L160" t="str">
        <v>Under 1 week / high loss</v>
      </c>
      <c r="M160" t="str">
        <v>Fresh herbs and flowers wilt quickly</v>
      </c>
      <c r="N160" s="2">
        <v>2.9</v>
      </c>
      <c r="O160" s="2">
        <v>4</v>
      </c>
      <c r="P160" s="2">
        <v>1.1</v>
      </c>
      <c r="Q160" s="1">
        <v>0.3793103448275863</v>
      </c>
      <c r="R160">
        <v>237</v>
      </c>
      <c r="S160" s="2">
        <v>701.05</v>
      </c>
      <c r="T160" s="2">
        <v>260.7</v>
      </c>
      <c r="U160" s="1">
        <v>0.45</v>
      </c>
      <c r="V160" t="str">
        <v>No</v>
      </c>
      <c r="W160" s="1">
        <v>0</v>
      </c>
      <c r="X160" t="str">
        <v>No</v>
      </c>
      <c r="Y160" t="str">
        <v>Candidate</v>
      </c>
      <c r="Z160" t="str">
        <v/>
      </c>
      <c r="AA160" t="str">
        <v/>
      </c>
    </row>
    <row r="161">
      <c r="A161" t="str">
        <v>Red Tail Growers</v>
      </c>
      <c r="B161" t="str">
        <v>Organic Vegetables - Herbs🌿</v>
      </c>
      <c r="C161">
        <v>964209</v>
      </c>
      <c r="D161" t="str">
        <v>Fresh Sage</v>
      </c>
      <c r="E161">
        <v>725644</v>
      </c>
      <c r="F161" t="str">
        <v>each</v>
      </c>
      <c r="G161" t="str">
        <v>Yes</v>
      </c>
      <c r="H161" s="2">
        <v>2</v>
      </c>
      <c r="J161" s="1">
        <v>0.45</v>
      </c>
      <c r="K161" s="1">
        <v>1</v>
      </c>
      <c r="L161" t="str">
        <v>Under 1 week / high loss</v>
      </c>
      <c r="M161" t="str">
        <v>Fresh herbs and flowers wilt quickly</v>
      </c>
      <c r="N161" s="2">
        <v>2.9</v>
      </c>
      <c r="O161" s="2">
        <v>4</v>
      </c>
      <c r="P161" s="2">
        <v>1.1</v>
      </c>
      <c r="Q161" s="1">
        <v>0.3793103448275863</v>
      </c>
      <c r="R161">
        <v>35</v>
      </c>
      <c r="S161" s="2">
        <v>87.85</v>
      </c>
      <c r="T161" s="2">
        <v>38.5</v>
      </c>
      <c r="U161" s="1">
        <v>0.45</v>
      </c>
      <c r="V161" t="str">
        <v>No</v>
      </c>
      <c r="W161" s="1">
        <v>0</v>
      </c>
      <c r="X161" t="str">
        <v>No</v>
      </c>
      <c r="Y161" t="str">
        <v>Candidate</v>
      </c>
      <c r="Z161" t="str">
        <v/>
      </c>
      <c r="AA161" t="str">
        <v/>
      </c>
    </row>
    <row r="162">
      <c r="A162" t="str">
        <v>Red Tail Growers</v>
      </c>
      <c r="B162" t="str">
        <v>Organic Vegetables - Herbs🌿</v>
      </c>
      <c r="C162">
        <v>805906</v>
      </c>
      <c r="D162" t="str">
        <v>Fresh Thyme</v>
      </c>
      <c r="E162">
        <v>526964</v>
      </c>
      <c r="F162" t="str">
        <v>each</v>
      </c>
      <c r="G162" t="str">
        <v>Yes</v>
      </c>
      <c r="H162" s="2">
        <v>2</v>
      </c>
      <c r="J162" s="1">
        <v>0.45</v>
      </c>
      <c r="K162" s="1">
        <v>1</v>
      </c>
      <c r="L162" t="str">
        <v>Under 1 week / high loss</v>
      </c>
      <c r="M162" t="str">
        <v>Fresh herbs and flowers wilt quickly</v>
      </c>
      <c r="N162" s="2">
        <v>2.9</v>
      </c>
      <c r="O162" s="2">
        <v>4</v>
      </c>
      <c r="P162" s="2">
        <v>1.1</v>
      </c>
      <c r="Q162" s="1">
        <v>0.3793103448275863</v>
      </c>
      <c r="R162">
        <v>90</v>
      </c>
      <c r="S162" s="2">
        <v>212.8</v>
      </c>
      <c r="T162" s="2">
        <v>99</v>
      </c>
      <c r="U162" s="1">
        <v>0.45</v>
      </c>
      <c r="V162" t="str">
        <v>No</v>
      </c>
      <c r="W162" s="1">
        <v>0</v>
      </c>
      <c r="X162" t="str">
        <v>No</v>
      </c>
      <c r="Y162" t="str">
        <v>Candidate</v>
      </c>
      <c r="Z162" t="str">
        <v/>
      </c>
      <c r="AA162" t="str">
        <v/>
      </c>
    </row>
    <row r="163">
      <c r="A163" t="str">
        <v>Red Tail Growers</v>
      </c>
      <c r="B163" t="str">
        <v>Organic Vegetables - Herbs🌿</v>
      </c>
      <c r="C163">
        <v>890651</v>
      </c>
      <c r="D163" t="str">
        <v>Marjoram</v>
      </c>
      <c r="E163">
        <v>630140</v>
      </c>
      <c r="F163" t="str">
        <v>bu</v>
      </c>
      <c r="G163" t="str">
        <v>No</v>
      </c>
      <c r="H163" s="2">
        <v>1.5</v>
      </c>
      <c r="J163" s="1">
        <v>0.45</v>
      </c>
      <c r="K163" s="1">
        <v>1</v>
      </c>
      <c r="L163" t="str">
        <v>Under 1 week / high loss</v>
      </c>
      <c r="M163" t="str">
        <v>Fresh herbs and flowers wilt quickly</v>
      </c>
      <c r="N163" s="2">
        <v>2.17</v>
      </c>
      <c r="O163" s="2">
        <v>3</v>
      </c>
      <c r="P163" s="2">
        <v>0.83</v>
      </c>
      <c r="Q163" s="1">
        <v>0.3824884792626728</v>
      </c>
      <c r="R163">
        <v>0</v>
      </c>
      <c r="S163" s="2">
        <v>0</v>
      </c>
      <c r="T163" s="2">
        <v>0</v>
      </c>
      <c r="U163" s="1">
        <v>0.45</v>
      </c>
      <c r="V163" t="str">
        <v>No</v>
      </c>
      <c r="W163" s="1">
        <v>0</v>
      </c>
      <c r="X163" t="str">
        <v>No</v>
      </c>
      <c r="Y163" t="str">
        <v>REVIEW hidden / seasonal</v>
      </c>
      <c r="Z163" t="str">
        <v/>
      </c>
      <c r="AA163" t="str">
        <v/>
      </c>
    </row>
    <row r="164">
      <c r="A164" t="str">
        <v>Red Tail Growers</v>
      </c>
      <c r="B164" t="str">
        <v>Organic Vegetables - Herbs🌿</v>
      </c>
      <c r="C164">
        <v>812658</v>
      </c>
      <c r="D164" t="str">
        <v>Parsley</v>
      </c>
      <c r="E164">
        <v>534526</v>
      </c>
      <c r="F164" t="str">
        <v>bu</v>
      </c>
      <c r="G164" t="str">
        <v>No</v>
      </c>
      <c r="H164" s="2">
        <v>2</v>
      </c>
      <c r="J164" s="1">
        <v>0.45</v>
      </c>
      <c r="K164" s="1">
        <v>1</v>
      </c>
      <c r="L164" t="str">
        <v>Under 1 week / high loss</v>
      </c>
      <c r="M164" t="str">
        <v>Fresh herbs and flowers wilt quickly</v>
      </c>
      <c r="N164" s="2">
        <v>2.9</v>
      </c>
      <c r="O164" s="2">
        <v>4</v>
      </c>
      <c r="P164" s="2">
        <v>1.1</v>
      </c>
      <c r="Q164" s="1">
        <v>0.3793103448275863</v>
      </c>
      <c r="R164">
        <v>75</v>
      </c>
      <c r="S164" s="2">
        <v>210</v>
      </c>
      <c r="T164" s="2">
        <v>82.5</v>
      </c>
      <c r="U164" s="1">
        <v>0.45</v>
      </c>
      <c r="V164" t="str">
        <v>No</v>
      </c>
      <c r="W164" s="1">
        <v>0</v>
      </c>
      <c r="X164" t="str">
        <v>No</v>
      </c>
      <c r="Y164" t="str">
        <v>REVIEW hidden / seasonal</v>
      </c>
      <c r="Z164" t="str">
        <v/>
      </c>
      <c r="AA164" t="str">
        <v/>
      </c>
    </row>
    <row r="165">
      <c r="A165" t="str">
        <v>Red Tail Growers</v>
      </c>
      <c r="B165" t="str">
        <v>Organic Vegetables - Herbs🌿</v>
      </c>
      <c r="C165">
        <v>890650</v>
      </c>
      <c r="D165" t="str">
        <v>Taragon</v>
      </c>
      <c r="E165">
        <v>630139</v>
      </c>
      <c r="F165" t="str">
        <v>bu</v>
      </c>
      <c r="G165" t="str">
        <v>No</v>
      </c>
      <c r="H165" s="2">
        <v>2</v>
      </c>
      <c r="J165" s="1">
        <v>0.45</v>
      </c>
      <c r="K165" s="1">
        <v>1</v>
      </c>
      <c r="L165" t="str">
        <v>Under 1 week / high loss</v>
      </c>
      <c r="M165" t="str">
        <v>Fresh herbs and flowers wilt quickly</v>
      </c>
      <c r="N165" s="2">
        <v>2.9</v>
      </c>
      <c r="O165" s="2">
        <v>4</v>
      </c>
      <c r="P165" s="2">
        <v>1.1</v>
      </c>
      <c r="Q165" s="1">
        <v>0.3793103448275863</v>
      </c>
      <c r="R165">
        <v>0</v>
      </c>
      <c r="S165" s="2">
        <v>0</v>
      </c>
      <c r="T165" s="2">
        <v>0</v>
      </c>
      <c r="U165" s="1">
        <v>0.45</v>
      </c>
      <c r="V165" t="str">
        <v>No</v>
      </c>
      <c r="W165" s="1">
        <v>0</v>
      </c>
      <c r="X165" t="str">
        <v>No</v>
      </c>
      <c r="Y165" t="str">
        <v>REVIEW hidden / seasonal</v>
      </c>
      <c r="Z165" t="str">
        <v/>
      </c>
      <c r="AA165" t="str">
        <v/>
      </c>
    </row>
    <row r="166">
      <c r="A166" t="str">
        <v>RL Plants &amp; Home Goods</v>
      </c>
      <c r="B166" t="str">
        <v>Organic Vegetables - Herbs🌿</v>
      </c>
      <c r="C166">
        <v>914549</v>
      </c>
      <c r="D166" t="str">
        <v>Lemon Balm</v>
      </c>
      <c r="E166">
        <v>660244</v>
      </c>
      <c r="F166" t="str">
        <v>bu</v>
      </c>
      <c r="G166" t="str">
        <v>No</v>
      </c>
      <c r="H166" s="2">
        <v>2.5</v>
      </c>
      <c r="J166" s="1">
        <v>0.45</v>
      </c>
      <c r="K166" s="1">
        <v>1</v>
      </c>
      <c r="L166" t="str">
        <v>Under 1 week / high loss</v>
      </c>
      <c r="M166" t="str">
        <v>Fresh herbs and flowers wilt quickly</v>
      </c>
      <c r="N166" s="2">
        <v>3.63</v>
      </c>
      <c r="O166" s="2">
        <v>5</v>
      </c>
      <c r="P166" s="2">
        <v>1.37</v>
      </c>
      <c r="Q166" s="1">
        <v>0.3774104683195594</v>
      </c>
      <c r="R166">
        <v>3</v>
      </c>
      <c r="S166" s="2">
        <v>10.5</v>
      </c>
      <c r="T166" s="2">
        <v>4.11</v>
      </c>
      <c r="U166" s="1">
        <v>0.45</v>
      </c>
      <c r="V166" t="str">
        <v>No</v>
      </c>
      <c r="W166" s="1">
        <v>0</v>
      </c>
      <c r="X166" t="str">
        <v>No</v>
      </c>
      <c r="Y166" t="str">
        <v>REVIEW hidden / seasonal</v>
      </c>
      <c r="Z166" t="str">
        <v/>
      </c>
      <c r="AA166" t="str">
        <v/>
      </c>
    </row>
    <row r="167">
      <c r="A167" t="str">
        <v>Organically Grown Company</v>
      </c>
      <c r="B167" t="str">
        <v>Organic Vegetables - Leafy Greens 🥬</v>
      </c>
      <c r="C167">
        <v>912736</v>
      </c>
      <c r="D167" t="str">
        <v>Red Cabbage</v>
      </c>
      <c r="E167">
        <v>658110</v>
      </c>
      <c r="F167" t="str">
        <v>each</v>
      </c>
      <c r="G167" t="str">
        <v>No</v>
      </c>
      <c r="H167" s="2">
        <v>3.95</v>
      </c>
      <c r="J167" s="1">
        <v>0.45</v>
      </c>
      <c r="K167" s="1">
        <v>0.45</v>
      </c>
      <c r="L167" t="str">
        <v>1 month+ / preserved</v>
      </c>
      <c r="M167" t="str">
        <v>Mature storage cabbage</v>
      </c>
      <c r="N167" s="2">
        <v>5.73</v>
      </c>
      <c r="O167" s="2">
        <v>5.73</v>
      </c>
      <c r="P167" s="2">
        <v>0</v>
      </c>
      <c r="Q167" s="1">
        <v>0</v>
      </c>
      <c r="R167">
        <v>103</v>
      </c>
      <c r="S167" s="2">
        <v>571.95</v>
      </c>
      <c r="T167" s="2">
        <v>0</v>
      </c>
      <c r="U167" s="1">
        <v>0.45</v>
      </c>
      <c r="V167" t="str">
        <v>No</v>
      </c>
      <c r="W167" s="1">
        <v>0</v>
      </c>
      <c r="X167" t="str">
        <v>No</v>
      </c>
      <c r="Y167" t="str">
        <v>REVIEW hidden / seasonal</v>
      </c>
      <c r="Z167" t="str">
        <v/>
      </c>
      <c r="AA167" t="str">
        <v/>
      </c>
    </row>
    <row r="168">
      <c r="A168" t="str">
        <v>Organically Grown Company</v>
      </c>
      <c r="B168" t="str">
        <v>Organic Vegetables - Leafy Greens 🥬</v>
      </c>
      <c r="C168">
        <v>805981</v>
      </c>
      <c r="D168" t="str">
        <v>Savoy Cabbage</v>
      </c>
      <c r="E168">
        <v>527041</v>
      </c>
      <c r="F168" t="str">
        <v>each</v>
      </c>
      <c r="G168" t="str">
        <v>No</v>
      </c>
      <c r="H168" s="2">
        <v>2.25</v>
      </c>
      <c r="J168" s="1">
        <v>0.45</v>
      </c>
      <c r="K168" s="1">
        <v>0.45</v>
      </c>
      <c r="L168" t="str">
        <v>1 month+ / preserved</v>
      </c>
      <c r="M168" t="str">
        <v>Mature storage cabbage</v>
      </c>
      <c r="N168" s="2">
        <v>3.26</v>
      </c>
      <c r="O168" s="2">
        <v>3.26</v>
      </c>
      <c r="P168" s="2">
        <v>0</v>
      </c>
      <c r="Q168" s="1">
        <v>0</v>
      </c>
      <c r="R168">
        <v>42</v>
      </c>
      <c r="S168" s="2">
        <v>132.98</v>
      </c>
      <c r="T168" s="2">
        <v>0</v>
      </c>
      <c r="U168" s="1">
        <v>0.45</v>
      </c>
      <c r="V168" t="str">
        <v>No</v>
      </c>
      <c r="W168" s="1">
        <v>0</v>
      </c>
      <c r="X168" t="str">
        <v>No</v>
      </c>
      <c r="Y168" t="str">
        <v>REVIEW hidden / seasonal</v>
      </c>
      <c r="Z168" t="str">
        <v/>
      </c>
      <c r="AA168" t="str">
        <v/>
      </c>
    </row>
    <row r="169">
      <c r="A169" t="str">
        <v>Red Tail Growers</v>
      </c>
      <c r="B169" t="str">
        <v>Organic Vegetables - Leafy Greens 🥬</v>
      </c>
      <c r="C169">
        <v>805882</v>
      </c>
      <c r="D169" t="str">
        <v>Green Cabbage</v>
      </c>
      <c r="E169">
        <v>526940</v>
      </c>
      <c r="F169" t="str">
        <v>each</v>
      </c>
      <c r="G169" t="str">
        <v>Yes</v>
      </c>
      <c r="H169" s="2">
        <v>4</v>
      </c>
      <c r="J169" s="1">
        <v>0.45</v>
      </c>
      <c r="K169" s="1">
        <v>0.45</v>
      </c>
      <c r="L169" t="str">
        <v>1 month+ / preserved</v>
      </c>
      <c r="M169" t="str">
        <v>Mature storage cabbage</v>
      </c>
      <c r="N169" s="2">
        <v>5.8</v>
      </c>
      <c r="O169" s="2">
        <v>5.8</v>
      </c>
      <c r="P169" s="2">
        <v>0</v>
      </c>
      <c r="Q169" s="1">
        <v>0</v>
      </c>
      <c r="R169">
        <v>290</v>
      </c>
      <c r="S169" s="2">
        <v>1613.57</v>
      </c>
      <c r="T169" s="2">
        <v>0</v>
      </c>
      <c r="U169" s="1">
        <v>0.45</v>
      </c>
      <c r="V169" t="str">
        <v>No</v>
      </c>
      <c r="W169" s="1">
        <v>0</v>
      </c>
      <c r="X169" t="str">
        <v>No</v>
      </c>
      <c r="Y169" t="str">
        <v>Candidate</v>
      </c>
      <c r="Z169" t="str">
        <v/>
      </c>
      <c r="AA169" t="str">
        <v/>
      </c>
    </row>
    <row r="170">
      <c r="A170" t="str">
        <v>Winter Green Farm</v>
      </c>
      <c r="B170" t="str">
        <v>Organic Vegetables - Leafy Greens 🥬</v>
      </c>
      <c r="C170">
        <v>975957</v>
      </c>
      <c r="D170" t="str">
        <v>Napa Cabbage</v>
      </c>
      <c r="E170">
        <v>741595</v>
      </c>
      <c r="F170" t="str">
        <v>ea</v>
      </c>
      <c r="G170" t="str">
        <v>No</v>
      </c>
      <c r="H170" s="2">
        <v>2.75</v>
      </c>
      <c r="J170" s="1">
        <v>0.45</v>
      </c>
      <c r="K170" s="1">
        <v>0.45</v>
      </c>
      <c r="L170" t="str">
        <v>1 month+ / preserved</v>
      </c>
      <c r="M170" t="str">
        <v>Mature storage cabbage</v>
      </c>
      <c r="N170" s="2">
        <v>3.99</v>
      </c>
      <c r="O170" s="2">
        <v>3.99</v>
      </c>
      <c r="P170" s="2">
        <v>0</v>
      </c>
      <c r="Q170" s="1">
        <v>0</v>
      </c>
      <c r="R170">
        <v>19</v>
      </c>
      <c r="S170" s="2">
        <v>73.15</v>
      </c>
      <c r="T170" s="2">
        <v>0</v>
      </c>
      <c r="U170" s="1">
        <v>0.45</v>
      </c>
      <c r="V170" t="str">
        <v>No</v>
      </c>
      <c r="W170" s="1">
        <v>0</v>
      </c>
      <c r="X170" t="str">
        <v>No</v>
      </c>
      <c r="Y170" t="str">
        <v>REVIEW hidden / seasonal</v>
      </c>
      <c r="Z170" t="str">
        <v/>
      </c>
      <c r="AA170" t="str">
        <v/>
      </c>
    </row>
    <row r="171">
      <c r="A171" t="str">
        <v>Organically Grown Company</v>
      </c>
      <c r="B171" t="str">
        <v>Organic Vegetables - Leafy Greens 🥬</v>
      </c>
      <c r="C171">
        <v>805945</v>
      </c>
      <c r="D171" t="str">
        <v>Sugarloaf Chicory</v>
      </c>
      <c r="E171">
        <v>527005</v>
      </c>
      <c r="F171" t="str">
        <v>each</v>
      </c>
      <c r="G171" t="str">
        <v>No</v>
      </c>
      <c r="H171" s="2">
        <v>3.21</v>
      </c>
      <c r="J171" s="1">
        <v>0.45</v>
      </c>
      <c r="K171" s="1">
        <v>0.6</v>
      </c>
      <c r="L171" t="str">
        <v>1 week to under 1 month</v>
      </c>
      <c r="M171" t="str">
        <v>Firm chicory or radicchio; verify storage practice</v>
      </c>
      <c r="N171" s="2">
        <v>4.65</v>
      </c>
      <c r="O171" s="2">
        <v>5.14</v>
      </c>
      <c r="P171" s="2">
        <v>0.49</v>
      </c>
      <c r="Q171" s="1">
        <v>0.10537634408602137</v>
      </c>
      <c r="R171">
        <v>11</v>
      </c>
      <c r="S171" s="2">
        <v>49.39</v>
      </c>
      <c r="T171" s="2">
        <v>5.39</v>
      </c>
      <c r="U171" s="1">
        <v>0.45</v>
      </c>
      <c r="V171" t="str">
        <v>No</v>
      </c>
      <c r="W171" s="1">
        <v>0</v>
      </c>
      <c r="X171" t="str">
        <v>No</v>
      </c>
      <c r="Y171" t="str">
        <v>REVIEW hidden / seasonal</v>
      </c>
      <c r="Z171" t="str">
        <v/>
      </c>
      <c r="AA171" t="str">
        <v/>
      </c>
    </row>
    <row r="172">
      <c r="A172" t="str">
        <v>Red Tail Growers</v>
      </c>
      <c r="B172" t="str">
        <v>Organic Vegetables - Leafy Greens 🥬</v>
      </c>
      <c r="C172">
        <v>805993</v>
      </c>
      <c r="D172" t="str">
        <v>Castelfranco Radicchio</v>
      </c>
      <c r="E172">
        <v>527053</v>
      </c>
      <c r="F172" t="str">
        <v>each</v>
      </c>
      <c r="G172" t="str">
        <v>No</v>
      </c>
      <c r="H172" s="2">
        <v>2</v>
      </c>
      <c r="J172" s="1">
        <v>0.45</v>
      </c>
      <c r="K172" s="1">
        <v>0.6</v>
      </c>
      <c r="L172" t="str">
        <v>1 week to under 1 month</v>
      </c>
      <c r="M172" t="str">
        <v>Firm chicory or radicchio; verify storage practice</v>
      </c>
      <c r="N172" s="2">
        <v>2.9</v>
      </c>
      <c r="O172" s="2">
        <v>3.2</v>
      </c>
      <c r="P172" s="2">
        <v>0.3</v>
      </c>
      <c r="Q172" s="1">
        <v>0.10344827586206895</v>
      </c>
      <c r="R172">
        <v>0</v>
      </c>
      <c r="S172" s="2">
        <v>0</v>
      </c>
      <c r="T172" s="2">
        <v>0</v>
      </c>
      <c r="U172" s="1">
        <v>0.45</v>
      </c>
      <c r="V172" t="str">
        <v>No</v>
      </c>
      <c r="W172" s="1">
        <v>0</v>
      </c>
      <c r="X172" t="str">
        <v>No</v>
      </c>
      <c r="Y172" t="str">
        <v>REVIEW hidden / seasonal</v>
      </c>
      <c r="Z172" t="str">
        <v/>
      </c>
      <c r="AA172" t="str">
        <v/>
      </c>
    </row>
    <row r="173">
      <c r="A173" t="str">
        <v>Red Tail Growers</v>
      </c>
      <c r="B173" t="str">
        <v>Organic Vegetables - Leafy Greens 🥬</v>
      </c>
      <c r="C173">
        <v>805877</v>
      </c>
      <c r="D173" t="str">
        <v>Castlefranco Chicory Head</v>
      </c>
      <c r="E173">
        <v>526935</v>
      </c>
      <c r="F173" t="str">
        <v>each</v>
      </c>
      <c r="G173" t="str">
        <v>No</v>
      </c>
      <c r="H173" s="2">
        <v>1.85</v>
      </c>
      <c r="J173" s="1">
        <v>0.45</v>
      </c>
      <c r="K173" s="1">
        <v>0.6</v>
      </c>
      <c r="L173" t="str">
        <v>1 week to under 1 month</v>
      </c>
      <c r="M173" t="str">
        <v>Firm chicory or radicchio; verify storage practice</v>
      </c>
      <c r="N173" s="2">
        <v>2.68</v>
      </c>
      <c r="O173" s="2">
        <v>2.96</v>
      </c>
      <c r="P173" s="2">
        <v>0.28</v>
      </c>
      <c r="Q173" s="1">
        <v>0.10447761194029836</v>
      </c>
      <c r="R173">
        <v>0</v>
      </c>
      <c r="S173" s="2">
        <v>0</v>
      </c>
      <c r="T173" s="2">
        <v>0</v>
      </c>
      <c r="U173" s="1">
        <v>0.45</v>
      </c>
      <c r="V173" t="str">
        <v>No</v>
      </c>
      <c r="W173" s="1">
        <v>0</v>
      </c>
      <c r="X173" t="str">
        <v>No</v>
      </c>
      <c r="Y173" t="str">
        <v>REVIEW hidden / seasonal</v>
      </c>
      <c r="Z173" t="str">
        <v/>
      </c>
      <c r="AA173" t="str">
        <v/>
      </c>
    </row>
    <row r="174">
      <c r="A174" t="str">
        <v>Red Tail Growers</v>
      </c>
      <c r="B174" t="str">
        <v>Organic Vegetables - Leafy Greens 🥬</v>
      </c>
      <c r="C174">
        <v>812613</v>
      </c>
      <c r="D174" t="str">
        <v>Curly Endive</v>
      </c>
      <c r="E174">
        <v>534481</v>
      </c>
      <c r="F174" t="str">
        <v>ea</v>
      </c>
      <c r="G174" t="str">
        <v>No</v>
      </c>
      <c r="H174" s="2">
        <v>1.5</v>
      </c>
      <c r="J174" s="1">
        <v>0.45</v>
      </c>
      <c r="K174" s="1">
        <v>0.6</v>
      </c>
      <c r="L174" t="str">
        <v>1 week to under 1 month</v>
      </c>
      <c r="M174" t="str">
        <v>Firm chicory or radicchio; verify storage practice</v>
      </c>
      <c r="N174" s="2">
        <v>2.17</v>
      </c>
      <c r="O174" s="2">
        <v>2.4</v>
      </c>
      <c r="P174" s="2">
        <v>0.23</v>
      </c>
      <c r="Q174" s="1">
        <v>0.10599078341013835</v>
      </c>
      <c r="R174">
        <v>0</v>
      </c>
      <c r="S174" s="2">
        <v>0</v>
      </c>
      <c r="T174" s="2">
        <v>0</v>
      </c>
      <c r="U174" s="1">
        <v>0.45</v>
      </c>
      <c r="V174" t="str">
        <v>No</v>
      </c>
      <c r="W174" s="1">
        <v>0</v>
      </c>
      <c r="X174" t="str">
        <v>No</v>
      </c>
      <c r="Y174" t="str">
        <v>REVIEW hidden / seasonal</v>
      </c>
      <c r="Z174" t="str">
        <v/>
      </c>
      <c r="AA174" t="str">
        <v/>
      </c>
    </row>
    <row r="175">
      <c r="A175" t="str">
        <v>Red Tail Growers</v>
      </c>
      <c r="B175" t="str">
        <v>Organic Vegetables - Leafy Greens 🥬</v>
      </c>
      <c r="C175">
        <v>805995</v>
      </c>
      <c r="D175" t="str">
        <v>Radicchio Treviso</v>
      </c>
      <c r="E175">
        <v>527055</v>
      </c>
      <c r="F175" t="str">
        <v>each</v>
      </c>
      <c r="G175" t="str">
        <v>No</v>
      </c>
      <c r="H175" s="2">
        <v>2</v>
      </c>
      <c r="J175" s="1">
        <v>0.45</v>
      </c>
      <c r="K175" s="1">
        <v>0.6</v>
      </c>
      <c r="L175" t="str">
        <v>1 week to under 1 month</v>
      </c>
      <c r="M175" t="str">
        <v>Firm chicory or radicchio; verify storage practice</v>
      </c>
      <c r="N175" s="2">
        <v>2.9</v>
      </c>
      <c r="O175" s="2">
        <v>3.2</v>
      </c>
      <c r="P175" s="2">
        <v>0.3</v>
      </c>
      <c r="Q175" s="1">
        <v>0.10344827586206895</v>
      </c>
      <c r="R175">
        <v>0</v>
      </c>
      <c r="S175" s="2">
        <v>0</v>
      </c>
      <c r="T175" s="2">
        <v>0</v>
      </c>
      <c r="U175" s="1">
        <v>0.45</v>
      </c>
      <c r="V175" t="str">
        <v>No</v>
      </c>
      <c r="W175" s="1">
        <v>0</v>
      </c>
      <c r="X175" t="str">
        <v>No</v>
      </c>
      <c r="Y175" t="str">
        <v>REVIEW hidden / seasonal</v>
      </c>
      <c r="Z175" t="str">
        <v/>
      </c>
      <c r="AA175" t="str">
        <v/>
      </c>
    </row>
    <row r="176">
      <c r="A176" t="str">
        <v>Red Tail Growers</v>
      </c>
      <c r="B176" t="str">
        <v>Organic Vegetables - Leafy Greens 🥬</v>
      </c>
      <c r="C176">
        <v>805991</v>
      </c>
      <c r="D176" t="str">
        <v>Red Radicchio</v>
      </c>
      <c r="E176">
        <v>527051</v>
      </c>
      <c r="F176" t="str">
        <v>each</v>
      </c>
      <c r="G176" t="str">
        <v>Yes</v>
      </c>
      <c r="H176" s="2">
        <v>2.35</v>
      </c>
      <c r="J176" s="1">
        <v>0.45</v>
      </c>
      <c r="K176" s="1">
        <v>0.6</v>
      </c>
      <c r="L176" t="str">
        <v>1 week to under 1 month</v>
      </c>
      <c r="M176" t="str">
        <v>Firm chicory or radicchio; verify storage practice</v>
      </c>
      <c r="N176" s="2">
        <v>3.41</v>
      </c>
      <c r="O176" s="2">
        <v>3.76</v>
      </c>
      <c r="P176" s="2">
        <v>0.35</v>
      </c>
      <c r="Q176" s="1">
        <v>0.1026392961876832</v>
      </c>
      <c r="R176">
        <v>81</v>
      </c>
      <c r="S176" s="2">
        <v>285.6</v>
      </c>
      <c r="T176" s="2">
        <v>28.35</v>
      </c>
      <c r="U176" s="1">
        <v>0.45</v>
      </c>
      <c r="V176" t="str">
        <v>No</v>
      </c>
      <c r="W176" s="1">
        <v>0</v>
      </c>
      <c r="X176" t="str">
        <v>No</v>
      </c>
      <c r="Y176" t="str">
        <v>Candidate</v>
      </c>
      <c r="Z176" t="str">
        <v/>
      </c>
      <c r="AA176" t="str">
        <v/>
      </c>
    </row>
    <row r="177">
      <c r="A177" t="str">
        <v>(missing vendor)</v>
      </c>
      <c r="B177" t="str">
        <v>Organic Vegetables - Leafy Greens 🥬</v>
      </c>
      <c r="C177">
        <v>805885</v>
      </c>
      <c r="D177" t="str">
        <v>Crisphead Lettuce</v>
      </c>
      <c r="E177">
        <v>526943</v>
      </c>
      <c r="F177" t="str">
        <v>each</v>
      </c>
      <c r="G177" t="str">
        <v>No</v>
      </c>
      <c r="H177" s="2">
        <v>3.5</v>
      </c>
      <c r="K177" s="1">
        <v>1</v>
      </c>
      <c r="L177" t="str">
        <v>Under 1 week / high loss</v>
      </c>
      <c r="M177" t="str">
        <v>Leafy greens, lettuce, salad mix, or shoots</v>
      </c>
      <c r="O177" s="2">
        <v>7</v>
      </c>
      <c r="R177">
        <v>0</v>
      </c>
      <c r="S177" s="2">
        <v>0</v>
      </c>
      <c r="V177" t="str">
        <v>No</v>
      </c>
      <c r="W177" s="1">
        <v>0</v>
      </c>
      <c r="X177" t="str">
        <v>No</v>
      </c>
      <c r="Y177" t="str">
        <v>HOLD missing vendor</v>
      </c>
      <c r="Z177" t="str">
        <v/>
      </c>
      <c r="AA177" t="str">
        <v/>
      </c>
    </row>
    <row r="178">
      <c r="A178" t="str">
        <v>(missing vendor)</v>
      </c>
      <c r="B178" t="str">
        <v>Organic Vegetables - Leafy Greens 🥬</v>
      </c>
      <c r="C178">
        <v>805921</v>
      </c>
      <c r="D178" t="str">
        <v>Green Romaine Lettuce</v>
      </c>
      <c r="E178">
        <v>526981</v>
      </c>
      <c r="F178" t="str">
        <v>each</v>
      </c>
      <c r="G178" t="str">
        <v>No</v>
      </c>
      <c r="H178" s="2">
        <v>1.75</v>
      </c>
      <c r="K178" s="1">
        <v>1</v>
      </c>
      <c r="L178" t="str">
        <v>Under 1 week / high loss</v>
      </c>
      <c r="M178" t="str">
        <v>Leafy greens, lettuce, salad mix, or shoots</v>
      </c>
      <c r="O178" s="2">
        <v>3.5</v>
      </c>
      <c r="R178">
        <v>0</v>
      </c>
      <c r="S178" s="2">
        <v>0</v>
      </c>
      <c r="V178" t="str">
        <v>No</v>
      </c>
      <c r="W178" s="1">
        <v>0</v>
      </c>
      <c r="X178" t="str">
        <v>No</v>
      </c>
      <c r="Y178" t="str">
        <v>HOLD missing vendor</v>
      </c>
      <c r="Z178" t="str">
        <v/>
      </c>
      <c r="AA178" t="str">
        <v/>
      </c>
    </row>
    <row r="179">
      <c r="A179" t="str">
        <v>(missing vendor)</v>
      </c>
      <c r="B179" t="str">
        <v>Organic Vegetables - Leafy Greens 🥬</v>
      </c>
      <c r="C179">
        <v>870774</v>
      </c>
      <c r="D179" t="str">
        <v>Pea Shoots</v>
      </c>
      <c r="E179">
        <v>603300</v>
      </c>
      <c r="F179" t="str">
        <v>1/2 Lb.</v>
      </c>
      <c r="G179" t="str">
        <v>No</v>
      </c>
      <c r="H179" s="2">
        <v>5</v>
      </c>
      <c r="K179" s="1">
        <v>1</v>
      </c>
      <c r="L179" t="str">
        <v>Under 1 week / high loss</v>
      </c>
      <c r="M179" t="str">
        <v>Leafy greens, lettuce, salad mix, or shoots</v>
      </c>
      <c r="O179" s="2">
        <v>10</v>
      </c>
      <c r="R179">
        <v>0</v>
      </c>
      <c r="S179" s="2">
        <v>0</v>
      </c>
      <c r="V179" t="str">
        <v>No</v>
      </c>
      <c r="W179" s="1">
        <v>0</v>
      </c>
      <c r="X179" t="str">
        <v>No</v>
      </c>
      <c r="Y179" t="str">
        <v>HOLD missing vendor</v>
      </c>
      <c r="Z179" t="str">
        <v/>
      </c>
      <c r="AA179" t="str">
        <v/>
      </c>
    </row>
    <row r="180">
      <c r="A180" t="str">
        <v>(missing vendor)</v>
      </c>
      <c r="B180" t="str">
        <v>Organic Vegetables - Leafy Greens 🥬</v>
      </c>
      <c r="C180">
        <v>805962</v>
      </c>
      <c r="D180" t="str">
        <v>Red Butter-head Little Gem Lettuce</v>
      </c>
      <c r="E180">
        <v>527022</v>
      </c>
      <c r="F180" t="str">
        <v>each</v>
      </c>
      <c r="G180" t="str">
        <v>No</v>
      </c>
      <c r="H180" s="2">
        <v>1.4</v>
      </c>
      <c r="K180" s="1">
        <v>1</v>
      </c>
      <c r="L180" t="str">
        <v>Under 1 week / high loss</v>
      </c>
      <c r="M180" t="str">
        <v>Leafy greens, lettuce, salad mix, or shoots</v>
      </c>
      <c r="O180" s="2">
        <v>2.8</v>
      </c>
      <c r="R180">
        <v>0</v>
      </c>
      <c r="S180" s="2">
        <v>0</v>
      </c>
      <c r="V180" t="str">
        <v>No</v>
      </c>
      <c r="W180" s="1">
        <v>0</v>
      </c>
      <c r="X180" t="str">
        <v>No</v>
      </c>
      <c r="Y180" t="str">
        <v>HOLD missing vendor</v>
      </c>
      <c r="Z180" t="str">
        <v/>
      </c>
      <c r="AA180" t="str">
        <v/>
      </c>
    </row>
    <row r="181">
      <c r="A181" t="str">
        <v>Camas Swale Farm</v>
      </c>
      <c r="B181" t="str">
        <v>Organic Vegetables - Leafy Greens 🥬</v>
      </c>
      <c r="C181">
        <v>812656</v>
      </c>
      <c r="D181" t="str">
        <v>Dino Lacinato Kale</v>
      </c>
      <c r="E181">
        <v>534524</v>
      </c>
      <c r="F181" t="str">
        <v>bu</v>
      </c>
      <c r="G181" t="str">
        <v>Yes</v>
      </c>
      <c r="H181" s="2">
        <v>2</v>
      </c>
      <c r="J181" s="1">
        <v>0.45</v>
      </c>
      <c r="K181" s="1">
        <v>1</v>
      </c>
      <c r="L181" t="str">
        <v>Under 1 week / high loss</v>
      </c>
      <c r="M181" t="str">
        <v>Leafy greens, lettuce, salad mix, or shoots</v>
      </c>
      <c r="N181" s="2">
        <v>2.9</v>
      </c>
      <c r="O181" s="2">
        <v>4</v>
      </c>
      <c r="P181" s="2">
        <v>1.1</v>
      </c>
      <c r="Q181" s="1">
        <v>0.3793103448275863</v>
      </c>
      <c r="R181">
        <v>177</v>
      </c>
      <c r="S181" s="2">
        <v>530.46</v>
      </c>
      <c r="T181" s="2">
        <v>194.7</v>
      </c>
      <c r="U181" s="1">
        <v>0.45</v>
      </c>
      <c r="V181" t="str">
        <v>No</v>
      </c>
      <c r="W181" s="1">
        <v>0</v>
      </c>
      <c r="X181" t="str">
        <v>No</v>
      </c>
      <c r="Y181" t="str">
        <v>Candidate</v>
      </c>
      <c r="Z181" t="str">
        <v/>
      </c>
      <c r="AA181" t="str">
        <v/>
      </c>
    </row>
    <row r="182">
      <c r="A182" t="str">
        <v>Camas Swale Farm</v>
      </c>
      <c r="B182" t="str">
        <v>Organic Vegetables - Leafy Greens 🥬</v>
      </c>
      <c r="C182">
        <v>805848</v>
      </c>
      <c r="D182" t="str">
        <v>Green Curly Kale</v>
      </c>
      <c r="E182">
        <v>526906</v>
      </c>
      <c r="F182" t="str">
        <v>each</v>
      </c>
      <c r="G182" t="str">
        <v>Yes</v>
      </c>
      <c r="H182" s="2">
        <v>2</v>
      </c>
      <c r="J182" s="1">
        <v>0.45</v>
      </c>
      <c r="K182" s="1">
        <v>1</v>
      </c>
      <c r="L182" t="str">
        <v>Under 1 week / high loss</v>
      </c>
      <c r="M182" t="str">
        <v>Leafy greens, lettuce, salad mix, or shoots</v>
      </c>
      <c r="N182" s="2">
        <v>2.9</v>
      </c>
      <c r="O182" s="2">
        <v>4</v>
      </c>
      <c r="P182" s="2">
        <v>1.1</v>
      </c>
      <c r="Q182" s="1">
        <v>0.3793103448275863</v>
      </c>
      <c r="R182">
        <v>303</v>
      </c>
      <c r="S182" s="2">
        <v>868.56</v>
      </c>
      <c r="T182" s="2">
        <v>333.3</v>
      </c>
      <c r="U182" s="1">
        <v>0.45</v>
      </c>
      <c r="V182" t="str">
        <v>No</v>
      </c>
      <c r="W182" s="1">
        <v>0</v>
      </c>
      <c r="X182" t="str">
        <v>No</v>
      </c>
      <c r="Y182" t="str">
        <v>Candidate</v>
      </c>
      <c r="Z182" t="str">
        <v/>
      </c>
      <c r="AA182" t="str">
        <v/>
      </c>
    </row>
    <row r="183">
      <c r="A183" t="str">
        <v>Camas Swale Farm</v>
      </c>
      <c r="B183" t="str">
        <v>Organic Vegetables - Leafy Greens 🥬</v>
      </c>
      <c r="C183">
        <v>805866</v>
      </c>
      <c r="D183" t="str">
        <v>Ho mi Zi (asian mustard heads)</v>
      </c>
      <c r="E183">
        <v>526924</v>
      </c>
      <c r="F183" t="str">
        <v>each</v>
      </c>
      <c r="G183" t="str">
        <v>No</v>
      </c>
      <c r="H183" s="2">
        <v>2</v>
      </c>
      <c r="J183" s="1">
        <v>0.45</v>
      </c>
      <c r="K183" s="1">
        <v>1</v>
      </c>
      <c r="L183" t="str">
        <v>Under 1 week / high loss</v>
      </c>
      <c r="M183" t="str">
        <v>Leafy greens, lettuce, salad mix, or shoots</v>
      </c>
      <c r="N183" s="2">
        <v>2.9</v>
      </c>
      <c r="O183" s="2">
        <v>4</v>
      </c>
      <c r="P183" s="2">
        <v>1.1</v>
      </c>
      <c r="Q183" s="1">
        <v>0.3793103448275863</v>
      </c>
      <c r="R183">
        <v>30</v>
      </c>
      <c r="S183" s="2">
        <v>84</v>
      </c>
      <c r="T183" s="2">
        <v>33</v>
      </c>
      <c r="U183" s="1">
        <v>0.45</v>
      </c>
      <c r="V183" t="str">
        <v>No</v>
      </c>
      <c r="W183" s="1">
        <v>0</v>
      </c>
      <c r="X183" t="str">
        <v>No</v>
      </c>
      <c r="Y183" t="str">
        <v>REVIEW hidden / seasonal</v>
      </c>
      <c r="Z183" t="str">
        <v/>
      </c>
      <c r="AA183" t="str">
        <v/>
      </c>
    </row>
    <row r="184">
      <c r="A184" t="str">
        <v>Camas Swale Farm</v>
      </c>
      <c r="B184" t="str">
        <v>Organic Vegetables - Leafy Greens 🥬</v>
      </c>
      <c r="C184">
        <v>824215</v>
      </c>
      <c r="D184" t="str">
        <v>Purple curly kale</v>
      </c>
      <c r="E184">
        <v>547697</v>
      </c>
      <c r="F184" t="str">
        <v>ea</v>
      </c>
      <c r="G184" t="str">
        <v>Yes</v>
      </c>
      <c r="H184" s="2">
        <v>2</v>
      </c>
      <c r="J184" s="1">
        <v>0.45</v>
      </c>
      <c r="K184" s="1">
        <v>1</v>
      </c>
      <c r="L184" t="str">
        <v>Under 1 week / high loss</v>
      </c>
      <c r="M184" t="str">
        <v>Leafy greens, lettuce, salad mix, or shoots</v>
      </c>
      <c r="N184" s="2">
        <v>2.9</v>
      </c>
      <c r="O184" s="2">
        <v>4</v>
      </c>
      <c r="P184" s="2">
        <v>1.1</v>
      </c>
      <c r="Q184" s="1">
        <v>0.3793103448275863</v>
      </c>
      <c r="R184">
        <v>94</v>
      </c>
      <c r="S184" s="2">
        <v>263.2</v>
      </c>
      <c r="T184" s="2">
        <v>103.4</v>
      </c>
      <c r="U184" s="1">
        <v>0.45</v>
      </c>
      <c r="V184" t="str">
        <v>No</v>
      </c>
      <c r="W184" s="1">
        <v>0</v>
      </c>
      <c r="X184" t="str">
        <v>No</v>
      </c>
      <c r="Y184" t="str">
        <v>Candidate</v>
      </c>
      <c r="Z184" t="str">
        <v/>
      </c>
      <c r="AA184" t="str">
        <v/>
      </c>
    </row>
    <row r="185">
      <c r="A185" t="str">
        <v>Camas Swale Farm</v>
      </c>
      <c r="B185" t="str">
        <v>Organic Vegetables - Leafy Greens 🥬</v>
      </c>
      <c r="C185">
        <v>805997</v>
      </c>
      <c r="D185" t="str">
        <v>Red Butterhead Lettuce</v>
      </c>
      <c r="E185">
        <v>527057</v>
      </c>
      <c r="F185" t="str">
        <v>each</v>
      </c>
      <c r="G185" t="str">
        <v>No</v>
      </c>
      <c r="H185" s="2">
        <v>2</v>
      </c>
      <c r="J185" s="1">
        <v>0.45</v>
      </c>
      <c r="K185" s="1">
        <v>1</v>
      </c>
      <c r="L185" t="str">
        <v>Under 1 week / high loss</v>
      </c>
      <c r="M185" t="str">
        <v>Leafy greens, lettuce, salad mix, or shoots</v>
      </c>
      <c r="N185" s="2">
        <v>2.9</v>
      </c>
      <c r="O185" s="2">
        <v>4</v>
      </c>
      <c r="P185" s="2">
        <v>1.1</v>
      </c>
      <c r="Q185" s="1">
        <v>0.3793103448275863</v>
      </c>
      <c r="R185">
        <v>96</v>
      </c>
      <c r="S185" s="2">
        <v>268.8</v>
      </c>
      <c r="T185" s="2">
        <v>105.6</v>
      </c>
      <c r="U185" s="1">
        <v>0.45</v>
      </c>
      <c r="V185" t="str">
        <v>No</v>
      </c>
      <c r="W185" s="1">
        <v>0</v>
      </c>
      <c r="X185" t="str">
        <v>No</v>
      </c>
      <c r="Y185" t="str">
        <v>REVIEW hidden / seasonal</v>
      </c>
      <c r="Z185" t="str">
        <v/>
      </c>
      <c r="AA185" t="str">
        <v/>
      </c>
    </row>
    <row r="186">
      <c r="A186" t="str">
        <v>Camas Swale Farm</v>
      </c>
      <c r="B186" t="str">
        <v>Organic Vegetables - Leafy Greens 🥬</v>
      </c>
      <c r="C186">
        <v>972408</v>
      </c>
      <c r="D186" t="str">
        <v>Salanova Lettuce Mix</v>
      </c>
      <c r="E186">
        <v>736582</v>
      </c>
      <c r="F186" t="str">
        <v>1/2 lb bag</v>
      </c>
      <c r="G186" t="str">
        <v>No</v>
      </c>
      <c r="H186" s="2">
        <v>4</v>
      </c>
      <c r="J186" s="1">
        <v>0.45</v>
      </c>
      <c r="K186" s="1">
        <v>1</v>
      </c>
      <c r="L186" t="str">
        <v>Under 1 week / high loss</v>
      </c>
      <c r="M186" t="str">
        <v>Leafy greens, lettuce, salad mix, or shoots</v>
      </c>
      <c r="N186" s="2">
        <v>5.8</v>
      </c>
      <c r="O186" s="2">
        <v>8</v>
      </c>
      <c r="P186" s="2">
        <v>2.2</v>
      </c>
      <c r="Q186" s="1">
        <v>0.3793103448275863</v>
      </c>
      <c r="R186">
        <v>150</v>
      </c>
      <c r="S186" s="2">
        <v>840</v>
      </c>
      <c r="T186" s="2">
        <v>330</v>
      </c>
      <c r="U186" s="1">
        <v>0.45</v>
      </c>
      <c r="V186" t="str">
        <v>No</v>
      </c>
      <c r="W186" s="1">
        <v>0</v>
      </c>
      <c r="X186" t="str">
        <v>No</v>
      </c>
      <c r="Y186" t="str">
        <v>REVIEW hidden / seasonal</v>
      </c>
      <c r="Z186" t="str">
        <v/>
      </c>
      <c r="AA186" t="str">
        <v/>
      </c>
    </row>
    <row r="187">
      <c r="A187" t="str">
        <v>Camas Swale Farm</v>
      </c>
      <c r="B187" t="str">
        <v>Organic Vegetables - Leafy Greens 🥬</v>
      </c>
      <c r="C187">
        <v>805963</v>
      </c>
      <c r="D187" t="str">
        <v>Swiss Chard</v>
      </c>
      <c r="E187">
        <v>527023</v>
      </c>
      <c r="F187" t="str">
        <v>each</v>
      </c>
      <c r="G187" t="str">
        <v>No</v>
      </c>
      <c r="H187" s="2">
        <v>3.25</v>
      </c>
      <c r="J187" s="1">
        <v>0.45</v>
      </c>
      <c r="K187" s="1">
        <v>1</v>
      </c>
      <c r="L187" t="str">
        <v>Under 1 week / high loss</v>
      </c>
      <c r="M187" t="str">
        <v>Leafy greens, lettuce, salad mix, or shoots</v>
      </c>
      <c r="N187" s="2">
        <v>4.71</v>
      </c>
      <c r="O187" s="2">
        <v>6.5</v>
      </c>
      <c r="P187" s="2">
        <v>1.79</v>
      </c>
      <c r="Q187" s="1">
        <v>0.38004246284501053</v>
      </c>
      <c r="R187">
        <v>0</v>
      </c>
      <c r="S187" s="2">
        <v>0</v>
      </c>
      <c r="T187" s="2">
        <v>0</v>
      </c>
      <c r="U187" s="1">
        <v>0.45</v>
      </c>
      <c r="V187" t="str">
        <v>No</v>
      </c>
      <c r="W187" s="1">
        <v>0</v>
      </c>
      <c r="X187" t="str">
        <v>No</v>
      </c>
      <c r="Y187" t="str">
        <v>REVIEW hidden / seasonal</v>
      </c>
      <c r="Z187" t="str">
        <v/>
      </c>
      <c r="AA187" t="str">
        <v/>
      </c>
    </row>
    <row r="188">
      <c r="A188" t="str">
        <v>Full Farm CSA</v>
      </c>
      <c r="B188" t="str">
        <v>Organic Vegetables - Leafy Greens 🥬</v>
      </c>
      <c r="C188">
        <v>958328</v>
      </c>
      <c r="D188" t="str">
        <v>Collard Raab</v>
      </c>
      <c r="E188">
        <v>718070</v>
      </c>
      <c r="F188" t="str">
        <v>bu</v>
      </c>
      <c r="G188" t="str">
        <v>No</v>
      </c>
      <c r="H188" s="2">
        <v>2.5</v>
      </c>
      <c r="J188" s="1">
        <v>0.45</v>
      </c>
      <c r="K188" s="1">
        <v>1</v>
      </c>
      <c r="L188" t="str">
        <v>Under 1 week / high loss</v>
      </c>
      <c r="M188" t="str">
        <v>Leafy greens, lettuce, salad mix, or shoots</v>
      </c>
      <c r="N188" s="2">
        <v>3.63</v>
      </c>
      <c r="O188" s="2">
        <v>5</v>
      </c>
      <c r="P188" s="2">
        <v>1.37</v>
      </c>
      <c r="Q188" s="1">
        <v>0.3774104683195594</v>
      </c>
      <c r="R188">
        <v>0</v>
      </c>
      <c r="S188" s="2">
        <v>0</v>
      </c>
      <c r="T188" s="2">
        <v>0</v>
      </c>
      <c r="U188" s="1">
        <v>0.45</v>
      </c>
      <c r="V188" t="str">
        <v>No</v>
      </c>
      <c r="W188" s="1">
        <v>0</v>
      </c>
      <c r="X188" t="str">
        <v>No</v>
      </c>
      <c r="Y188" t="str">
        <v>REVIEW hidden / seasonal</v>
      </c>
      <c r="Z188" t="str">
        <v/>
      </c>
      <c r="AA188" t="str">
        <v/>
      </c>
    </row>
    <row r="189">
      <c r="A189" t="str">
        <v>Grazier's Garden</v>
      </c>
      <c r="B189" t="str">
        <v>Organic Vegetables - Leafy Greens 🥬</v>
      </c>
      <c r="C189">
        <v>805858</v>
      </c>
      <c r="D189" t="str">
        <v>Broccoli Greens</v>
      </c>
      <c r="E189">
        <v>526916</v>
      </c>
      <c r="F189" t="str">
        <v>each</v>
      </c>
      <c r="G189" t="str">
        <v>No</v>
      </c>
      <c r="H189" s="2">
        <v>4.25</v>
      </c>
      <c r="J189" s="1">
        <v>0.45</v>
      </c>
      <c r="K189" s="1">
        <v>1</v>
      </c>
      <c r="L189" t="str">
        <v>Under 1 week / high loss</v>
      </c>
      <c r="M189" t="str">
        <v>Leafy greens, lettuce, salad mix, or shoots</v>
      </c>
      <c r="N189" s="2">
        <v>6.16</v>
      </c>
      <c r="O189" s="2">
        <v>8.5</v>
      </c>
      <c r="P189" s="2">
        <v>2.34</v>
      </c>
      <c r="Q189" s="1">
        <v>0.3798701298701299</v>
      </c>
      <c r="R189">
        <v>0</v>
      </c>
      <c r="S189" s="2">
        <v>0</v>
      </c>
      <c r="T189" s="2">
        <v>0</v>
      </c>
      <c r="U189" s="1">
        <v>0.45</v>
      </c>
      <c r="V189" t="str">
        <v>No</v>
      </c>
      <c r="W189" s="1">
        <v>0</v>
      </c>
      <c r="X189" t="str">
        <v>No</v>
      </c>
      <c r="Y189" t="str">
        <v>REVIEW hidden / seasonal</v>
      </c>
      <c r="Z189" t="str">
        <v/>
      </c>
      <c r="AA189" t="str">
        <v/>
      </c>
    </row>
    <row r="190">
      <c r="A190" t="str">
        <v>Grazier's Garden</v>
      </c>
      <c r="B190" t="str">
        <v>Organic Vegetables - Leafy Greens 🥬</v>
      </c>
      <c r="C190">
        <v>978368</v>
      </c>
      <c r="D190" t="str">
        <v>Grazier's Salad Mix</v>
      </c>
      <c r="E190">
        <v>745074</v>
      </c>
      <c r="F190" t="str">
        <v>1/2 lb</v>
      </c>
      <c r="G190" t="str">
        <v>No</v>
      </c>
      <c r="H190" s="2">
        <v>4</v>
      </c>
      <c r="J190" s="1">
        <v>0.45</v>
      </c>
      <c r="K190" s="1">
        <v>1</v>
      </c>
      <c r="L190" t="str">
        <v>Under 1 week / high loss</v>
      </c>
      <c r="M190" t="str">
        <v>Leafy greens, lettuce, salad mix, or shoots</v>
      </c>
      <c r="N190" s="2">
        <v>5.8</v>
      </c>
      <c r="O190" s="2">
        <v>8</v>
      </c>
      <c r="P190" s="2">
        <v>2.2</v>
      </c>
      <c r="Q190" s="1">
        <v>0.3793103448275863</v>
      </c>
      <c r="R190">
        <v>0</v>
      </c>
      <c r="S190" s="2">
        <v>0</v>
      </c>
      <c r="U190" s="1">
        <v>0.45</v>
      </c>
      <c r="V190" t="str">
        <v>No</v>
      </c>
      <c r="W190" s="1">
        <v>0</v>
      </c>
      <c r="X190" t="str">
        <v>Yes</v>
      </c>
      <c r="Y190" t="str">
        <v>HOLD customer price overrides</v>
      </c>
      <c r="Z190" t="str">
        <v/>
      </c>
      <c r="AA190" t="str">
        <v/>
      </c>
    </row>
    <row r="191">
      <c r="A191" t="str">
        <v>Grazier's Garden</v>
      </c>
      <c r="B191" t="str">
        <v>Organic Vegetables - Leafy Greens 🥬</v>
      </c>
      <c r="C191">
        <v>882733</v>
      </c>
      <c r="D191" t="str">
        <v>Mixed salad greens</v>
      </c>
      <c r="E191">
        <v>619491</v>
      </c>
      <c r="F191" t="str">
        <v>1/2 lb</v>
      </c>
      <c r="G191" t="str">
        <v>No</v>
      </c>
      <c r="H191" s="2">
        <v>5</v>
      </c>
      <c r="J191" s="1">
        <v>0.45</v>
      </c>
      <c r="K191" s="1">
        <v>1</v>
      </c>
      <c r="L191" t="str">
        <v>Under 1 week / high loss</v>
      </c>
      <c r="M191" t="str">
        <v>Leafy greens, lettuce, salad mix, or shoots</v>
      </c>
      <c r="N191" s="2">
        <v>7.25</v>
      </c>
      <c r="O191" s="2">
        <v>10</v>
      </c>
      <c r="P191" s="2">
        <v>2.75</v>
      </c>
      <c r="Q191" s="1">
        <v>0.3793103448275863</v>
      </c>
      <c r="R191">
        <v>0</v>
      </c>
      <c r="S191" s="2">
        <v>0</v>
      </c>
      <c r="T191" s="2">
        <v>0</v>
      </c>
      <c r="U191" s="1">
        <v>0.45</v>
      </c>
      <c r="V191" t="str">
        <v>No</v>
      </c>
      <c r="W191" s="1">
        <v>0</v>
      </c>
      <c r="X191" t="str">
        <v>No</v>
      </c>
      <c r="Y191" t="str">
        <v>REVIEW hidden / seasonal</v>
      </c>
      <c r="Z191" t="str">
        <v/>
      </c>
      <c r="AA191" t="str">
        <v/>
      </c>
    </row>
    <row r="192">
      <c r="A192" t="str">
        <v>Grazier's Garden</v>
      </c>
      <c r="B192" t="str">
        <v>Organic Vegetables - Leafy Greens 🥬</v>
      </c>
      <c r="C192">
        <v>805958</v>
      </c>
      <c r="D192" t="str">
        <v>Rainbow Chard</v>
      </c>
      <c r="E192">
        <v>527019</v>
      </c>
      <c r="F192" t="str">
        <v>each</v>
      </c>
      <c r="G192" t="str">
        <v>No</v>
      </c>
      <c r="H192" s="2">
        <v>2.14</v>
      </c>
      <c r="J192" s="1">
        <v>0.45</v>
      </c>
      <c r="K192" s="1">
        <v>1</v>
      </c>
      <c r="L192" t="str">
        <v>Under 1 week / high loss</v>
      </c>
      <c r="M192" t="str">
        <v>Leafy greens, lettuce, salad mix, or shoots</v>
      </c>
      <c r="N192" s="2">
        <v>3.1</v>
      </c>
      <c r="O192" s="2">
        <v>4.28</v>
      </c>
      <c r="P192" s="2">
        <v>1.18</v>
      </c>
      <c r="Q192" s="1">
        <v>0.38064516129032255</v>
      </c>
      <c r="R192">
        <v>19</v>
      </c>
      <c r="S192" s="2">
        <v>55.2</v>
      </c>
      <c r="T192" s="2">
        <v>22.42</v>
      </c>
      <c r="U192" s="1">
        <v>0.45</v>
      </c>
      <c r="V192" t="str">
        <v>No</v>
      </c>
      <c r="W192" s="1">
        <v>0</v>
      </c>
      <c r="X192" t="str">
        <v>No</v>
      </c>
      <c r="Y192" t="str">
        <v>REVIEW hidden / seasonal</v>
      </c>
      <c r="Z192" t="str">
        <v/>
      </c>
      <c r="AA192" t="str">
        <v/>
      </c>
    </row>
    <row r="193">
      <c r="A193" t="str">
        <v>Grazier's Garden</v>
      </c>
      <c r="B193" t="str">
        <v>Organic Vegetables - Leafy Greens 🥬</v>
      </c>
      <c r="C193">
        <v>997517</v>
      </c>
      <c r="D193" t="str">
        <v>Winterbor Mixed Curly Kale Bunch</v>
      </c>
      <c r="E193">
        <v>772950</v>
      </c>
      <c r="F193" t="str">
        <v>bu</v>
      </c>
      <c r="G193" t="str">
        <v>No</v>
      </c>
      <c r="H193" s="2">
        <v>3</v>
      </c>
      <c r="J193" s="1">
        <v>0.45</v>
      </c>
      <c r="K193" s="1">
        <v>1</v>
      </c>
      <c r="L193" t="str">
        <v>Under 1 week / high loss</v>
      </c>
      <c r="M193" t="str">
        <v>Leafy greens, lettuce, salad mix, or shoots</v>
      </c>
      <c r="N193" s="2">
        <v>4.35</v>
      </c>
      <c r="O193" s="2">
        <v>6</v>
      </c>
      <c r="P193" s="2">
        <v>1.65</v>
      </c>
      <c r="Q193" s="1">
        <v>0.3793103448275863</v>
      </c>
      <c r="R193">
        <v>24</v>
      </c>
      <c r="S193" s="2">
        <v>100.8</v>
      </c>
      <c r="T193" s="2">
        <v>39.6</v>
      </c>
      <c r="U193" s="1">
        <v>0.45</v>
      </c>
      <c r="V193" t="str">
        <v>No</v>
      </c>
      <c r="W193" s="1">
        <v>0</v>
      </c>
      <c r="X193" t="str">
        <v>No</v>
      </c>
      <c r="Y193" t="str">
        <v>REVIEW hidden / seasonal</v>
      </c>
      <c r="Z193" t="str">
        <v/>
      </c>
      <c r="AA193" t="str">
        <v/>
      </c>
    </row>
    <row r="194">
      <c r="A194" t="str">
        <v>Little Wings</v>
      </c>
      <c r="B194" t="str">
        <v>Organic Vegetables - Leafy Greens 🥬</v>
      </c>
      <c r="C194">
        <v>919246</v>
      </c>
      <c r="D194" t="str">
        <v>Collard Greens</v>
      </c>
      <c r="E194">
        <v>665174</v>
      </c>
      <c r="F194" t="str">
        <v>each</v>
      </c>
      <c r="G194" t="str">
        <v>Yes</v>
      </c>
      <c r="H194" s="2">
        <v>2.25</v>
      </c>
      <c r="J194" s="1">
        <v>0.45</v>
      </c>
      <c r="K194" s="1">
        <v>1</v>
      </c>
      <c r="L194" t="str">
        <v>Under 1 week / high loss</v>
      </c>
      <c r="M194" t="str">
        <v>Leafy greens, lettuce, salad mix, or shoots</v>
      </c>
      <c r="N194" s="2">
        <v>3.26</v>
      </c>
      <c r="O194" s="2">
        <v>4.5</v>
      </c>
      <c r="P194" s="2">
        <v>1.24</v>
      </c>
      <c r="Q194" s="1">
        <v>0.3803680981595092</v>
      </c>
      <c r="R194">
        <v>96</v>
      </c>
      <c r="S194" s="2">
        <v>284.9</v>
      </c>
      <c r="T194" s="2">
        <v>119.04</v>
      </c>
      <c r="U194" s="1">
        <v>0.45</v>
      </c>
      <c r="V194" t="str">
        <v>No</v>
      </c>
      <c r="W194" s="1">
        <v>0</v>
      </c>
      <c r="X194" t="str">
        <v>No</v>
      </c>
      <c r="Y194" t="str">
        <v>Candidate</v>
      </c>
      <c r="Z194" t="str">
        <v/>
      </c>
      <c r="AA194" t="str">
        <v/>
      </c>
    </row>
    <row r="195">
      <c r="A195" t="str">
        <v>Little Wings</v>
      </c>
      <c r="B195" t="str">
        <v>Organic Vegetables - Leafy Greens 🥬</v>
      </c>
      <c r="C195">
        <v>805911</v>
      </c>
      <c r="D195" t="str">
        <v>Frisee Lettuce</v>
      </c>
      <c r="E195">
        <v>526969</v>
      </c>
      <c r="F195" t="str">
        <v>each</v>
      </c>
      <c r="G195" t="str">
        <v>Yes</v>
      </c>
      <c r="H195" s="2">
        <v>2.5</v>
      </c>
      <c r="J195" s="1">
        <v>0.45</v>
      </c>
      <c r="K195" s="1">
        <v>1</v>
      </c>
      <c r="L195" t="str">
        <v>Under 1 week / high loss</v>
      </c>
      <c r="M195" t="str">
        <v>Leafy greens, lettuce, salad mix, or shoots</v>
      </c>
      <c r="N195" s="2">
        <v>3.63</v>
      </c>
      <c r="O195" s="2">
        <v>5</v>
      </c>
      <c r="P195" s="2">
        <v>1.37</v>
      </c>
      <c r="Q195" s="1">
        <v>0.3774104683195594</v>
      </c>
      <c r="R195">
        <v>49</v>
      </c>
      <c r="S195" s="2">
        <v>171.5</v>
      </c>
      <c r="T195" s="2">
        <v>67.13</v>
      </c>
      <c r="U195" s="1">
        <v>0.45</v>
      </c>
      <c r="V195" t="str">
        <v>No</v>
      </c>
      <c r="W195" s="1">
        <v>0</v>
      </c>
      <c r="X195" t="str">
        <v>No</v>
      </c>
      <c r="Y195" t="str">
        <v>Candidate</v>
      </c>
      <c r="Z195" t="str">
        <v/>
      </c>
      <c r="AA195" t="str">
        <v/>
      </c>
    </row>
    <row r="196">
      <c r="A196" t="str">
        <v>Little Wings</v>
      </c>
      <c r="B196" t="str">
        <v>Organic Vegetables - Leafy Greens 🥬</v>
      </c>
      <c r="C196">
        <v>805869</v>
      </c>
      <c r="D196" t="str">
        <v>Green  Butterhead Lettuce</v>
      </c>
      <c r="E196">
        <v>526927</v>
      </c>
      <c r="F196" t="str">
        <v>each</v>
      </c>
      <c r="G196" t="str">
        <v>No</v>
      </c>
      <c r="H196" s="2">
        <v>2</v>
      </c>
      <c r="J196" s="1">
        <v>0.45</v>
      </c>
      <c r="K196" s="1">
        <v>1</v>
      </c>
      <c r="L196" t="str">
        <v>Under 1 week / high loss</v>
      </c>
      <c r="M196" t="str">
        <v>Leafy greens, lettuce, salad mix, or shoots</v>
      </c>
      <c r="N196" s="2">
        <v>2.9</v>
      </c>
      <c r="O196" s="2">
        <v>4</v>
      </c>
      <c r="P196" s="2">
        <v>1.1</v>
      </c>
      <c r="Q196" s="1">
        <v>0.3793103448275863</v>
      </c>
      <c r="R196">
        <v>16</v>
      </c>
      <c r="S196" s="2">
        <v>44.8</v>
      </c>
      <c r="T196" s="2">
        <v>17.6</v>
      </c>
      <c r="U196" s="1">
        <v>0.45</v>
      </c>
      <c r="V196" t="str">
        <v>No</v>
      </c>
      <c r="W196" s="1">
        <v>0</v>
      </c>
      <c r="X196" t="str">
        <v>No</v>
      </c>
      <c r="Y196" t="str">
        <v>REVIEW hidden / seasonal</v>
      </c>
      <c r="Z196" t="str">
        <v/>
      </c>
      <c r="AA196" t="str">
        <v/>
      </c>
    </row>
    <row r="197">
      <c r="A197" t="str">
        <v>Little Wings</v>
      </c>
      <c r="B197" t="str">
        <v>Organic Vegetables - Leafy Greens 🥬</v>
      </c>
      <c r="C197">
        <v>805919</v>
      </c>
      <c r="D197" t="str">
        <v>Green Little Gem</v>
      </c>
      <c r="E197">
        <v>526978</v>
      </c>
      <c r="F197" t="str">
        <v>each</v>
      </c>
      <c r="G197" t="str">
        <v>Yes</v>
      </c>
      <c r="H197" s="2">
        <v>1.75</v>
      </c>
      <c r="J197" s="1">
        <v>0.45</v>
      </c>
      <c r="K197" s="1">
        <v>1</v>
      </c>
      <c r="L197" t="str">
        <v>Under 1 week / high loss</v>
      </c>
      <c r="M197" t="str">
        <v>Leafy greens, lettuce, salad mix, or shoots</v>
      </c>
      <c r="N197" s="2">
        <v>2.54</v>
      </c>
      <c r="O197" s="2">
        <v>3.5</v>
      </c>
      <c r="P197" s="2">
        <v>0.96</v>
      </c>
      <c r="Q197" s="1">
        <v>0.3779527559055118</v>
      </c>
      <c r="R197">
        <v>331</v>
      </c>
      <c r="S197" s="2">
        <v>787.22</v>
      </c>
      <c r="T197" s="2">
        <v>317.76</v>
      </c>
      <c r="U197" s="1">
        <v>0.45</v>
      </c>
      <c r="V197" t="str">
        <v>No</v>
      </c>
      <c r="W197" s="1">
        <v>0</v>
      </c>
      <c r="X197" t="str">
        <v>No</v>
      </c>
      <c r="Y197" t="str">
        <v>Candidate</v>
      </c>
      <c r="Z197" t="str">
        <v/>
      </c>
      <c r="AA197" t="str">
        <v/>
      </c>
    </row>
    <row r="198">
      <c r="A198" t="str">
        <v>Little Wings</v>
      </c>
      <c r="B198" t="str">
        <v>Organic Vegetables - Leafy Greens 🥬</v>
      </c>
      <c r="C198">
        <v>805856</v>
      </c>
      <c r="D198" t="str">
        <v>Green Mizuna</v>
      </c>
      <c r="E198">
        <v>526915</v>
      </c>
      <c r="F198" t="str">
        <v>each</v>
      </c>
      <c r="G198" t="str">
        <v>No</v>
      </c>
      <c r="H198" s="2">
        <v>2.25</v>
      </c>
      <c r="J198" s="1">
        <v>0.45</v>
      </c>
      <c r="K198" s="1">
        <v>1</v>
      </c>
      <c r="L198" t="str">
        <v>Under 1 week / high loss</v>
      </c>
      <c r="M198" t="str">
        <v>Leafy greens, lettuce, salad mix, or shoots</v>
      </c>
      <c r="N198" s="2">
        <v>3.26</v>
      </c>
      <c r="O198" s="2">
        <v>4.5</v>
      </c>
      <c r="P198" s="2">
        <v>1.24</v>
      </c>
      <c r="Q198" s="1">
        <v>0.3803680981595092</v>
      </c>
      <c r="R198">
        <v>0</v>
      </c>
      <c r="S198" s="2">
        <v>0</v>
      </c>
      <c r="T198" s="2">
        <v>0</v>
      </c>
      <c r="U198" s="1">
        <v>0.45</v>
      </c>
      <c r="V198" t="str">
        <v>No</v>
      </c>
      <c r="W198" s="1">
        <v>0</v>
      </c>
      <c r="X198" t="str">
        <v>No</v>
      </c>
      <c r="Y198" t="str">
        <v>REVIEW hidden / seasonal</v>
      </c>
      <c r="Z198" t="str">
        <v/>
      </c>
      <c r="AA198" t="str">
        <v/>
      </c>
    </row>
    <row r="199">
      <c r="A199" t="str">
        <v>Little Wings</v>
      </c>
      <c r="B199" t="str">
        <v>Organic Vegetables - Leafy Greens 🥬</v>
      </c>
      <c r="C199">
        <v>805957</v>
      </c>
      <c r="D199" t="str">
        <v>Italian (Dino) Kale</v>
      </c>
      <c r="E199">
        <v>527017</v>
      </c>
      <c r="F199" t="str">
        <v>bu.</v>
      </c>
      <c r="G199" t="str">
        <v>No</v>
      </c>
      <c r="H199" s="2">
        <v>1.9</v>
      </c>
      <c r="J199" s="1">
        <v>0.45</v>
      </c>
      <c r="K199" s="1">
        <v>1</v>
      </c>
      <c r="L199" t="str">
        <v>Under 1 week / high loss</v>
      </c>
      <c r="M199" t="str">
        <v>Leafy greens, lettuce, salad mix, or shoots</v>
      </c>
      <c r="N199" s="2">
        <v>2.75</v>
      </c>
      <c r="O199" s="2">
        <v>3.8</v>
      </c>
      <c r="P199" s="2">
        <v>1.05</v>
      </c>
      <c r="Q199" s="1">
        <v>0.38181818181818183</v>
      </c>
      <c r="R199">
        <v>412</v>
      </c>
      <c r="S199" s="2">
        <v>1130.8</v>
      </c>
      <c r="T199" s="2">
        <v>432.6</v>
      </c>
      <c r="U199" s="1">
        <v>0.45</v>
      </c>
      <c r="V199" t="str">
        <v>No</v>
      </c>
      <c r="W199" s="1">
        <v>0</v>
      </c>
      <c r="X199" t="str">
        <v>No</v>
      </c>
      <c r="Y199" t="str">
        <v>REVIEW hidden / seasonal</v>
      </c>
      <c r="Z199" t="str">
        <v/>
      </c>
      <c r="AA199" t="str">
        <v/>
      </c>
    </row>
    <row r="200">
      <c r="A200" t="str">
        <v>Little Wings</v>
      </c>
      <c r="B200" t="str">
        <v>Organic Vegetables - Leafy Greens 🥬</v>
      </c>
      <c r="C200">
        <v>884968</v>
      </c>
      <c r="D200" t="str">
        <v>Little Gem Mix</v>
      </c>
      <c r="E200">
        <v>622470</v>
      </c>
      <c r="F200" t="str">
        <v>1/2 lb bag</v>
      </c>
      <c r="G200" t="str">
        <v>No</v>
      </c>
      <c r="H200" s="2">
        <v>4.25</v>
      </c>
      <c r="J200" s="1">
        <v>0.45</v>
      </c>
      <c r="K200" s="1">
        <v>1</v>
      </c>
      <c r="L200" t="str">
        <v>Under 1 week / high loss</v>
      </c>
      <c r="M200" t="str">
        <v>Leafy greens, lettuce, salad mix, or shoots</v>
      </c>
      <c r="N200" s="2">
        <v>6.16</v>
      </c>
      <c r="O200" s="2">
        <v>8.5</v>
      </c>
      <c r="P200" s="2">
        <v>2.34</v>
      </c>
      <c r="Q200" s="1">
        <v>0.3798701298701299</v>
      </c>
      <c r="R200">
        <v>70</v>
      </c>
      <c r="S200" s="2">
        <v>416.5</v>
      </c>
      <c r="T200" s="2">
        <v>163.8</v>
      </c>
      <c r="U200" s="1">
        <v>0.45</v>
      </c>
      <c r="V200" t="str">
        <v>No</v>
      </c>
      <c r="W200" s="1">
        <v>0</v>
      </c>
      <c r="X200" t="str">
        <v>No</v>
      </c>
      <c r="Y200" t="str">
        <v>REVIEW hidden / seasonal</v>
      </c>
      <c r="Z200" t="str">
        <v/>
      </c>
      <c r="AA200" t="str">
        <v/>
      </c>
    </row>
    <row r="201">
      <c r="A201" t="str">
        <v>Little Wings</v>
      </c>
      <c r="B201" t="str">
        <v>Organic Vegetables - Leafy Greens 🥬</v>
      </c>
      <c r="C201">
        <v>805940</v>
      </c>
      <c r="D201" t="str">
        <v>Pea Shoots</v>
      </c>
      <c r="E201">
        <v>527000</v>
      </c>
      <c r="F201" t="str">
        <v>4 oz</v>
      </c>
      <c r="G201" t="str">
        <v>No</v>
      </c>
      <c r="H201" s="2">
        <v>3.25</v>
      </c>
      <c r="J201" s="1">
        <v>0.45</v>
      </c>
      <c r="K201" s="1">
        <v>1</v>
      </c>
      <c r="L201" t="str">
        <v>Under 1 week / high loss</v>
      </c>
      <c r="M201" t="str">
        <v>Leafy greens, lettuce, salad mix, or shoots</v>
      </c>
      <c r="N201" s="2">
        <v>4.71</v>
      </c>
      <c r="O201" s="2">
        <v>6.5</v>
      </c>
      <c r="P201" s="2">
        <v>1.79</v>
      </c>
      <c r="Q201" s="1">
        <v>0.38004246284501053</v>
      </c>
      <c r="R201">
        <v>45</v>
      </c>
      <c r="S201" s="2">
        <v>197.4</v>
      </c>
      <c r="T201" s="2">
        <v>80.55</v>
      </c>
      <c r="U201" s="1">
        <v>0.45</v>
      </c>
      <c r="V201" t="str">
        <v>No</v>
      </c>
      <c r="W201" s="1">
        <v>0</v>
      </c>
      <c r="X201" t="str">
        <v>No</v>
      </c>
      <c r="Y201" t="str">
        <v>REVIEW hidden / seasonal</v>
      </c>
      <c r="Z201" t="str">
        <v/>
      </c>
      <c r="AA201" t="str">
        <v/>
      </c>
    </row>
    <row r="202">
      <c r="A202" t="str">
        <v>Little Wings</v>
      </c>
      <c r="B202" t="str">
        <v>Organic Vegetables - Leafy Greens 🥬</v>
      </c>
      <c r="C202">
        <v>1021692</v>
      </c>
      <c r="D202" t="str">
        <v>Rainbow Chard</v>
      </c>
      <c r="E202">
        <v>808786</v>
      </c>
      <c r="F202" t="str">
        <v>each</v>
      </c>
      <c r="G202" t="str">
        <v>Yes</v>
      </c>
      <c r="H202" s="2">
        <v>2</v>
      </c>
      <c r="J202" s="1">
        <v>0.45</v>
      </c>
      <c r="K202" s="1">
        <v>1</v>
      </c>
      <c r="L202" t="str">
        <v>Under 1 week / high loss</v>
      </c>
      <c r="M202" t="str">
        <v>Leafy greens, lettuce, salad mix, or shoots</v>
      </c>
      <c r="N202" s="2">
        <v>2.9</v>
      </c>
      <c r="O202" s="2">
        <v>4</v>
      </c>
      <c r="P202" s="2">
        <v>1.1</v>
      </c>
      <c r="Q202" s="1">
        <v>0.3793103448275863</v>
      </c>
      <c r="R202">
        <v>293</v>
      </c>
      <c r="S202" s="2">
        <v>866.2</v>
      </c>
      <c r="T202" s="2">
        <v>322.3</v>
      </c>
      <c r="U202" s="1">
        <v>0.45</v>
      </c>
      <c r="V202" t="str">
        <v>No</v>
      </c>
      <c r="W202" s="1">
        <v>0</v>
      </c>
      <c r="X202" t="str">
        <v>No</v>
      </c>
      <c r="Y202" t="str">
        <v>Candidate</v>
      </c>
      <c r="Z202" t="str">
        <v/>
      </c>
      <c r="AA202" t="str">
        <v/>
      </c>
    </row>
    <row r="203">
      <c r="A203" t="str">
        <v>Little Wings</v>
      </c>
      <c r="B203" t="str">
        <v>Organic Vegetables - Leafy Greens 🥬</v>
      </c>
      <c r="C203">
        <v>812532</v>
      </c>
      <c r="D203" t="str">
        <v>Red Russian Kale</v>
      </c>
      <c r="E203">
        <v>534390</v>
      </c>
      <c r="F203" t="str">
        <v>bu</v>
      </c>
      <c r="G203" t="str">
        <v>Yes</v>
      </c>
      <c r="H203" s="2">
        <v>2.3</v>
      </c>
      <c r="J203" s="1">
        <v>0.45</v>
      </c>
      <c r="K203" s="1">
        <v>1</v>
      </c>
      <c r="L203" t="str">
        <v>Under 1 week / high loss</v>
      </c>
      <c r="M203" t="str">
        <v>Leafy greens, lettuce, salad mix, or shoots</v>
      </c>
      <c r="N203" s="2">
        <v>3.33</v>
      </c>
      <c r="O203" s="2">
        <v>4.6</v>
      </c>
      <c r="P203" s="2">
        <v>1.27</v>
      </c>
      <c r="Q203" s="1">
        <v>0.38138138138138133</v>
      </c>
      <c r="R203">
        <v>40</v>
      </c>
      <c r="S203" s="2">
        <v>110.08</v>
      </c>
      <c r="T203" s="2">
        <v>50.8</v>
      </c>
      <c r="U203" s="1">
        <v>0.45</v>
      </c>
      <c r="V203" t="str">
        <v>No</v>
      </c>
      <c r="W203" s="1">
        <v>0</v>
      </c>
      <c r="X203" t="str">
        <v>No</v>
      </c>
      <c r="Y203" t="str">
        <v>Candidate</v>
      </c>
      <c r="Z203" t="str">
        <v/>
      </c>
      <c r="AA203" t="str">
        <v/>
      </c>
    </row>
    <row r="204">
      <c r="A204" t="str">
        <v>Little Wings</v>
      </c>
      <c r="B204" t="str">
        <v>Organic Vegetables - Leafy Greens 🥬</v>
      </c>
      <c r="C204">
        <v>1004980</v>
      </c>
      <c r="D204" t="str">
        <v>Romaine Lettuce</v>
      </c>
      <c r="E204">
        <v>785188</v>
      </c>
      <c r="F204" t="str">
        <v>each</v>
      </c>
      <c r="G204" t="str">
        <v>Yes</v>
      </c>
      <c r="H204" s="2">
        <v>2</v>
      </c>
      <c r="J204" s="1">
        <v>0.45</v>
      </c>
      <c r="K204" s="1">
        <v>1</v>
      </c>
      <c r="L204" t="str">
        <v>Under 1 week / high loss</v>
      </c>
      <c r="M204" t="str">
        <v>Leafy greens, lettuce, salad mix, or shoots</v>
      </c>
      <c r="N204" s="2">
        <v>2.9</v>
      </c>
      <c r="O204" s="2">
        <v>4</v>
      </c>
      <c r="P204" s="2">
        <v>1.1</v>
      </c>
      <c r="Q204" s="1">
        <v>0.3793103448275863</v>
      </c>
      <c r="R204">
        <v>525</v>
      </c>
      <c r="S204" s="2">
        <v>1491.35</v>
      </c>
      <c r="T204" s="2">
        <v>577.5</v>
      </c>
      <c r="U204" s="1">
        <v>0.45</v>
      </c>
      <c r="V204" t="str">
        <v>No</v>
      </c>
      <c r="W204" s="1">
        <v>0</v>
      </c>
      <c r="X204" t="str">
        <v>No</v>
      </c>
      <c r="Y204" t="str">
        <v>Candidate</v>
      </c>
      <c r="Z204" t="str">
        <v/>
      </c>
      <c r="AA204" t="str">
        <v/>
      </c>
    </row>
    <row r="205">
      <c r="A205" t="str">
        <v>Little Wings</v>
      </c>
      <c r="B205" t="str">
        <v>Organic Vegetables - Leafy Greens 🥬</v>
      </c>
      <c r="C205">
        <v>805977</v>
      </c>
      <c r="D205" t="str">
        <v>Salad Mix</v>
      </c>
      <c r="E205">
        <v>527037</v>
      </c>
      <c r="F205" t="str">
        <v>1/2 lb</v>
      </c>
      <c r="G205" t="str">
        <v>No</v>
      </c>
      <c r="H205" s="2">
        <v>4.5</v>
      </c>
      <c r="J205" s="1">
        <v>0.45</v>
      </c>
      <c r="K205" s="1">
        <v>1</v>
      </c>
      <c r="L205" t="str">
        <v>Under 1 week / high loss</v>
      </c>
      <c r="M205" t="str">
        <v>Leafy greens, lettuce, salad mix, or shoots</v>
      </c>
      <c r="N205" s="2">
        <v>6.52</v>
      </c>
      <c r="O205" s="2">
        <v>9</v>
      </c>
      <c r="P205" s="2">
        <v>2.48</v>
      </c>
      <c r="Q205" s="1">
        <v>0.3803680981595092</v>
      </c>
      <c r="R205">
        <v>244</v>
      </c>
      <c r="S205" s="2">
        <v>1519.14</v>
      </c>
      <c r="T205" s="2">
        <v>605.12</v>
      </c>
      <c r="U205" s="1">
        <v>0.45</v>
      </c>
      <c r="V205" t="str">
        <v>No</v>
      </c>
      <c r="W205" s="1">
        <v>0</v>
      </c>
      <c r="X205" t="str">
        <v>No</v>
      </c>
      <c r="Y205" t="str">
        <v>REVIEW hidden / seasonal</v>
      </c>
      <c r="Z205" t="str">
        <v/>
      </c>
      <c r="AA205" t="str">
        <v/>
      </c>
    </row>
    <row r="206">
      <c r="A206" t="str">
        <v>Little Wings</v>
      </c>
      <c r="B206" t="str">
        <v>Organic Vegetables - Leafy Greens 🥬</v>
      </c>
      <c r="C206">
        <v>958464</v>
      </c>
      <c r="D206" t="str">
        <v>Spinach  1/2 Lb.</v>
      </c>
      <c r="E206">
        <v>718323</v>
      </c>
      <c r="F206" t="str">
        <v>each</v>
      </c>
      <c r="G206" t="str">
        <v>No</v>
      </c>
      <c r="H206" s="2">
        <v>3.9</v>
      </c>
      <c r="J206" s="1">
        <v>0.45</v>
      </c>
      <c r="K206" s="1">
        <v>1</v>
      </c>
      <c r="L206" t="str">
        <v>Under 1 week / high loss</v>
      </c>
      <c r="M206" t="str">
        <v>Leafy greens, lettuce, salad mix, or shoots</v>
      </c>
      <c r="N206" s="2">
        <v>5.65</v>
      </c>
      <c r="O206" s="2">
        <v>7.8</v>
      </c>
      <c r="P206" s="2">
        <v>2.15</v>
      </c>
      <c r="Q206" s="1">
        <v>0.38053097345132736</v>
      </c>
      <c r="R206">
        <v>43</v>
      </c>
      <c r="S206" s="2">
        <v>237.02</v>
      </c>
      <c r="T206" s="2">
        <v>92.45</v>
      </c>
      <c r="U206" s="1">
        <v>0.45</v>
      </c>
      <c r="V206" t="str">
        <v>No</v>
      </c>
      <c r="W206" s="1">
        <v>0</v>
      </c>
      <c r="X206" t="str">
        <v>No</v>
      </c>
      <c r="Y206" t="str">
        <v>REVIEW hidden / seasonal</v>
      </c>
      <c r="Z206" t="str">
        <v/>
      </c>
      <c r="AA206" t="str">
        <v/>
      </c>
    </row>
    <row r="207">
      <c r="A207" t="str">
        <v>Lone Wolf Ranch</v>
      </c>
      <c r="B207" t="str">
        <v>Organic Vegetables - Leafy Greens 🥬</v>
      </c>
      <c r="C207">
        <v>928741</v>
      </c>
      <c r="D207" t="str">
        <v>Broccoli Microgreens</v>
      </c>
      <c r="E207">
        <v>676917</v>
      </c>
      <c r="F207" t="str">
        <v>1 oz. pk</v>
      </c>
      <c r="G207" t="str">
        <v>No</v>
      </c>
      <c r="H207" s="2">
        <v>2.5</v>
      </c>
      <c r="J207" s="1">
        <v>0.45</v>
      </c>
      <c r="K207" s="1">
        <v>1</v>
      </c>
      <c r="L207" t="str">
        <v>Under 1 week / high loss</v>
      </c>
      <c r="M207" t="str">
        <v>Leafy greens, lettuce, salad mix, or shoots</v>
      </c>
      <c r="N207" s="2">
        <v>3.63</v>
      </c>
      <c r="O207" s="2">
        <v>5</v>
      </c>
      <c r="P207" s="2">
        <v>1.37</v>
      </c>
      <c r="Q207" s="1">
        <v>0.3774104683195594</v>
      </c>
      <c r="R207">
        <v>31</v>
      </c>
      <c r="S207" s="2">
        <v>108.5</v>
      </c>
      <c r="T207" s="2">
        <v>42.47</v>
      </c>
      <c r="U207" s="1">
        <v>0.45</v>
      </c>
      <c r="V207" t="str">
        <v>No</v>
      </c>
      <c r="W207" s="1">
        <v>0</v>
      </c>
      <c r="X207" t="str">
        <v>No</v>
      </c>
      <c r="Y207" t="str">
        <v>REVIEW hidden / seasonal</v>
      </c>
      <c r="Z207" t="str">
        <v/>
      </c>
      <c r="AA207" t="str">
        <v/>
      </c>
    </row>
    <row r="208">
      <c r="A208" t="str">
        <v>Lone Wolf Ranch</v>
      </c>
      <c r="B208" t="str">
        <v>Organic Vegetables - Leafy Greens 🥬</v>
      </c>
      <c r="C208">
        <v>928741</v>
      </c>
      <c r="D208" t="str">
        <v>Broccoli Microgreens</v>
      </c>
      <c r="E208">
        <v>726764</v>
      </c>
      <c r="F208" t="str">
        <v>2 oz pk</v>
      </c>
      <c r="G208" t="str">
        <v>No</v>
      </c>
      <c r="H208" s="2">
        <v>5</v>
      </c>
      <c r="J208" s="1">
        <v>0.45</v>
      </c>
      <c r="K208" s="1">
        <v>1</v>
      </c>
      <c r="L208" t="str">
        <v>Under 1 week / high loss</v>
      </c>
      <c r="M208" t="str">
        <v>Leafy greens, lettuce, salad mix, or shoots</v>
      </c>
      <c r="N208" s="2">
        <v>7.25</v>
      </c>
      <c r="O208" s="2">
        <v>10</v>
      </c>
      <c r="P208" s="2">
        <v>2.75</v>
      </c>
      <c r="Q208" s="1">
        <v>0.3793103448275863</v>
      </c>
      <c r="R208">
        <v>25</v>
      </c>
      <c r="S208" s="2">
        <v>175</v>
      </c>
      <c r="T208" s="2">
        <v>68.75</v>
      </c>
      <c r="U208" s="1">
        <v>0.45</v>
      </c>
      <c r="V208" t="str">
        <v>No</v>
      </c>
      <c r="W208" s="1">
        <v>0</v>
      </c>
      <c r="X208" t="str">
        <v>No</v>
      </c>
      <c r="Y208" t="str">
        <v>REVIEW hidden / seasonal</v>
      </c>
      <c r="Z208" t="str">
        <v/>
      </c>
      <c r="AA208" t="str">
        <v/>
      </c>
    </row>
    <row r="209">
      <c r="A209" t="str">
        <v>Lone Wolf Ranch</v>
      </c>
      <c r="B209" t="str">
        <v>Organic Vegetables - Leafy Greens 🥬</v>
      </c>
      <c r="C209">
        <v>928742</v>
      </c>
      <c r="D209" t="str">
        <v>Purple Radish Microgreens</v>
      </c>
      <c r="E209">
        <v>676918</v>
      </c>
      <c r="F209" t="str">
        <v>1 oz. pk</v>
      </c>
      <c r="G209" t="str">
        <v>No</v>
      </c>
      <c r="H209" s="2">
        <v>2.5</v>
      </c>
      <c r="J209" s="1">
        <v>0.45</v>
      </c>
      <c r="K209" s="1">
        <v>1</v>
      </c>
      <c r="L209" t="str">
        <v>Under 1 week / high loss</v>
      </c>
      <c r="M209" t="str">
        <v>Leafy greens, lettuce, salad mix, or shoots</v>
      </c>
      <c r="N209" s="2">
        <v>3.63</v>
      </c>
      <c r="O209" s="2">
        <v>5</v>
      </c>
      <c r="P209" s="2">
        <v>1.37</v>
      </c>
      <c r="Q209" s="1">
        <v>0.3774104683195594</v>
      </c>
      <c r="R209">
        <v>11</v>
      </c>
      <c r="S209" s="2">
        <v>38.5</v>
      </c>
      <c r="T209" s="2">
        <v>15.07</v>
      </c>
      <c r="U209" s="1">
        <v>0.45</v>
      </c>
      <c r="V209" t="str">
        <v>No</v>
      </c>
      <c r="W209" s="1">
        <v>0</v>
      </c>
      <c r="X209" t="str">
        <v>No</v>
      </c>
      <c r="Y209" t="str">
        <v>REVIEW hidden / seasonal</v>
      </c>
      <c r="Z209" t="str">
        <v/>
      </c>
      <c r="AA209" t="str">
        <v/>
      </c>
    </row>
    <row r="210">
      <c r="A210" t="str">
        <v>Lone Wolf Ranch</v>
      </c>
      <c r="B210" t="str">
        <v>Organic Vegetables - Leafy Greens 🥬</v>
      </c>
      <c r="C210">
        <v>928742</v>
      </c>
      <c r="D210" t="str">
        <v>Purple Radish Microgreens</v>
      </c>
      <c r="E210">
        <v>726765</v>
      </c>
      <c r="F210" t="str">
        <v>2 oz pk</v>
      </c>
      <c r="G210" t="str">
        <v>No</v>
      </c>
      <c r="H210" s="2">
        <v>5</v>
      </c>
      <c r="J210" s="1">
        <v>0.45</v>
      </c>
      <c r="K210" s="1">
        <v>1</v>
      </c>
      <c r="L210" t="str">
        <v>Under 1 week / high loss</v>
      </c>
      <c r="M210" t="str">
        <v>Leafy greens, lettuce, salad mix, or shoots</v>
      </c>
      <c r="N210" s="2">
        <v>7.25</v>
      </c>
      <c r="O210" s="2">
        <v>10</v>
      </c>
      <c r="P210" s="2">
        <v>2.75</v>
      </c>
      <c r="Q210" s="1">
        <v>0.3793103448275863</v>
      </c>
      <c r="R210">
        <v>13</v>
      </c>
      <c r="S210" s="2">
        <v>91</v>
      </c>
      <c r="T210" s="2">
        <v>35.75</v>
      </c>
      <c r="U210" s="1">
        <v>0.45</v>
      </c>
      <c r="V210" t="str">
        <v>No</v>
      </c>
      <c r="W210" s="1">
        <v>0</v>
      </c>
      <c r="X210" t="str">
        <v>No</v>
      </c>
      <c r="Y210" t="str">
        <v>REVIEW hidden / seasonal</v>
      </c>
      <c r="Z210" t="str">
        <v/>
      </c>
      <c r="AA210" t="str">
        <v/>
      </c>
    </row>
    <row r="211">
      <c r="A211" t="str">
        <v>Organically Grown Company</v>
      </c>
      <c r="B211" t="str">
        <v>Organic Vegetables - Leafy Greens 🥬</v>
      </c>
      <c r="C211">
        <v>927363</v>
      </c>
      <c r="D211" t="str">
        <v>Tatsoi</v>
      </c>
      <c r="E211">
        <v>675350</v>
      </c>
      <c r="F211" t="str">
        <v>each</v>
      </c>
      <c r="G211" t="str">
        <v>No</v>
      </c>
      <c r="H211" s="2">
        <v>2.11</v>
      </c>
      <c r="J211" s="1">
        <v>0.45</v>
      </c>
      <c r="K211" s="1">
        <v>1</v>
      </c>
      <c r="L211" t="str">
        <v>Under 1 week / high loss</v>
      </c>
      <c r="M211" t="str">
        <v>Leafy greens, lettuce, salad mix, or shoots</v>
      </c>
      <c r="N211" s="2">
        <v>3.06</v>
      </c>
      <c r="O211" s="2">
        <v>4.22</v>
      </c>
      <c r="P211" s="2">
        <v>1.16</v>
      </c>
      <c r="Q211" s="1">
        <v>0.3790849673202614</v>
      </c>
      <c r="R211">
        <v>0</v>
      </c>
      <c r="S211" s="2">
        <v>0</v>
      </c>
      <c r="T211" s="2">
        <v>0</v>
      </c>
      <c r="U211" s="1">
        <v>0.45</v>
      </c>
      <c r="V211" t="str">
        <v>No</v>
      </c>
      <c r="W211" s="1">
        <v>0</v>
      </c>
      <c r="X211" t="str">
        <v>No</v>
      </c>
      <c r="Y211" t="str">
        <v>REVIEW hidden / seasonal</v>
      </c>
      <c r="Z211" t="str">
        <v/>
      </c>
      <c r="AA211" t="str">
        <v/>
      </c>
    </row>
    <row r="212">
      <c r="A212" t="str">
        <v>Red Tail Growers</v>
      </c>
      <c r="B212" t="str">
        <v>Organic Vegetables - Leafy Greens 🥬</v>
      </c>
      <c r="C212">
        <v>973114</v>
      </c>
      <c r="D212" t="str">
        <v>Arugula</v>
      </c>
      <c r="E212">
        <v>737954</v>
      </c>
      <c r="F212" t="str">
        <v>1/2 lb bag</v>
      </c>
      <c r="G212" t="str">
        <v>Yes</v>
      </c>
      <c r="H212" s="2">
        <v>4.25</v>
      </c>
      <c r="J212" s="1">
        <v>0.45</v>
      </c>
      <c r="K212" s="1">
        <v>1</v>
      </c>
      <c r="L212" t="str">
        <v>Under 1 week / high loss</v>
      </c>
      <c r="M212" t="str">
        <v>Leafy greens, lettuce, salad mix, or shoots</v>
      </c>
      <c r="N212" s="2">
        <v>6.16</v>
      </c>
      <c r="O212" s="2">
        <v>8.5</v>
      </c>
      <c r="P212" s="2">
        <v>2.34</v>
      </c>
      <c r="Q212" s="1">
        <v>0.3798701298701299</v>
      </c>
      <c r="R212">
        <v>143</v>
      </c>
      <c r="S212" s="2">
        <v>869.26</v>
      </c>
      <c r="T212" s="2">
        <v>334.62</v>
      </c>
      <c r="U212" s="1">
        <v>0.45</v>
      </c>
      <c r="V212" t="str">
        <v>No</v>
      </c>
      <c r="W212" s="1">
        <v>0</v>
      </c>
      <c r="X212" t="str">
        <v>No</v>
      </c>
      <c r="Y212" t="str">
        <v>Candidate</v>
      </c>
      <c r="Z212" t="str">
        <v/>
      </c>
      <c r="AA212" t="str">
        <v/>
      </c>
    </row>
    <row r="213">
      <c r="A213" t="str">
        <v>Red Tail Growers</v>
      </c>
      <c r="B213" t="str">
        <v>Organic Vegetables - Leafy Greens 🥬</v>
      </c>
      <c r="C213">
        <v>879550</v>
      </c>
      <c r="D213" t="str">
        <v>Baby Bok Choi</v>
      </c>
      <c r="E213">
        <v>615271</v>
      </c>
      <c r="F213" t="str">
        <v>Bunch</v>
      </c>
      <c r="G213" t="str">
        <v>Yes</v>
      </c>
      <c r="H213" s="2">
        <v>2</v>
      </c>
      <c r="J213" s="1">
        <v>0.45</v>
      </c>
      <c r="K213" s="1">
        <v>1</v>
      </c>
      <c r="L213" t="str">
        <v>Under 1 week / high loss</v>
      </c>
      <c r="M213" t="str">
        <v>Leafy greens, lettuce, salad mix, or shoots</v>
      </c>
      <c r="N213" s="2">
        <v>2.9</v>
      </c>
      <c r="O213" s="2">
        <v>4</v>
      </c>
      <c r="P213" s="2">
        <v>1.1</v>
      </c>
      <c r="Q213" s="1">
        <v>0.3793103448275863</v>
      </c>
      <c r="R213">
        <v>208</v>
      </c>
      <c r="S213" s="2">
        <v>582.4</v>
      </c>
      <c r="T213" s="2">
        <v>228.8</v>
      </c>
      <c r="U213" s="1">
        <v>0.45</v>
      </c>
      <c r="V213" t="str">
        <v>No</v>
      </c>
      <c r="W213" s="1">
        <v>0</v>
      </c>
      <c r="X213" t="str">
        <v>No</v>
      </c>
      <c r="Y213" t="str">
        <v>Candidate</v>
      </c>
      <c r="Z213" t="str">
        <v/>
      </c>
      <c r="AA213" t="str">
        <v/>
      </c>
    </row>
    <row r="214">
      <c r="A214" t="str">
        <v>Red Tail Growers</v>
      </c>
      <c r="B214" t="str">
        <v>Organic Vegetables - Leafy Greens 🥬</v>
      </c>
      <c r="C214">
        <v>879549</v>
      </c>
      <c r="D214" t="str">
        <v>Baby Mustard Salad Mix</v>
      </c>
      <c r="E214">
        <v>615270</v>
      </c>
      <c r="F214" t="str">
        <v>1/2 lb</v>
      </c>
      <c r="G214" t="str">
        <v>No</v>
      </c>
      <c r="H214" s="2">
        <v>4</v>
      </c>
      <c r="J214" s="1">
        <v>0.45</v>
      </c>
      <c r="K214" s="1">
        <v>1</v>
      </c>
      <c r="L214" t="str">
        <v>Under 1 week / high loss</v>
      </c>
      <c r="M214" t="str">
        <v>Leafy greens, lettuce, salad mix, or shoots</v>
      </c>
      <c r="N214" s="2">
        <v>5.8</v>
      </c>
      <c r="O214" s="2">
        <v>8</v>
      </c>
      <c r="P214" s="2">
        <v>2.2</v>
      </c>
      <c r="Q214" s="1">
        <v>0.3793103448275863</v>
      </c>
      <c r="R214">
        <v>0</v>
      </c>
      <c r="S214" s="2">
        <v>0</v>
      </c>
      <c r="T214" s="2">
        <v>0</v>
      </c>
      <c r="U214" s="1">
        <v>0.45</v>
      </c>
      <c r="V214" t="str">
        <v>No</v>
      </c>
      <c r="W214" s="1">
        <v>0</v>
      </c>
      <c r="X214" t="str">
        <v>No</v>
      </c>
      <c r="Y214" t="str">
        <v>REVIEW hidden / seasonal</v>
      </c>
      <c r="Z214" t="str">
        <v/>
      </c>
      <c r="AA214" t="str">
        <v/>
      </c>
    </row>
    <row r="215">
      <c r="A215" t="str">
        <v>Red Tail Growers</v>
      </c>
      <c r="B215" t="str">
        <v>Organic Vegetables - Leafy Greens 🥬</v>
      </c>
      <c r="C215">
        <v>906535</v>
      </c>
      <c r="D215" t="str">
        <v>Bietola</v>
      </c>
      <c r="E215">
        <v>650561</v>
      </c>
      <c r="F215" t="str">
        <v>ea</v>
      </c>
      <c r="G215" t="str">
        <v>No</v>
      </c>
      <c r="H215" s="2">
        <v>2</v>
      </c>
      <c r="J215" s="1">
        <v>0.45</v>
      </c>
      <c r="K215" s="1">
        <v>1</v>
      </c>
      <c r="L215" t="str">
        <v>Under 1 week / high loss</v>
      </c>
      <c r="M215" t="str">
        <v>Leafy greens, lettuce, salad mix, or shoots</v>
      </c>
      <c r="N215" s="2">
        <v>2.9</v>
      </c>
      <c r="O215" s="2">
        <v>4</v>
      </c>
      <c r="P215" s="2">
        <v>1.1</v>
      </c>
      <c r="Q215" s="1">
        <v>0.3793103448275863</v>
      </c>
      <c r="R215">
        <v>0</v>
      </c>
      <c r="S215" s="2">
        <v>0</v>
      </c>
      <c r="T215" s="2">
        <v>0</v>
      </c>
      <c r="U215" s="1">
        <v>0.45</v>
      </c>
      <c r="V215" t="str">
        <v>No</v>
      </c>
      <c r="W215" s="1">
        <v>0</v>
      </c>
      <c r="X215" t="str">
        <v>No</v>
      </c>
      <c r="Y215" t="str">
        <v>REVIEW hidden / seasonal</v>
      </c>
      <c r="Z215" t="str">
        <v/>
      </c>
      <c r="AA215" t="str">
        <v/>
      </c>
    </row>
    <row r="216">
      <c r="A216" t="str">
        <v>Red Tail Growers</v>
      </c>
      <c r="B216" t="str">
        <v>Organic Vegetables - Leafy Greens 🥬</v>
      </c>
      <c r="C216">
        <v>906534</v>
      </c>
      <c r="D216" t="str">
        <v>Bietola/chard mix</v>
      </c>
      <c r="E216">
        <v>650560</v>
      </c>
      <c r="F216" t="str">
        <v>1/2 lb bag</v>
      </c>
      <c r="G216" t="str">
        <v>No</v>
      </c>
      <c r="H216" s="2">
        <v>3.5</v>
      </c>
      <c r="J216" s="1">
        <v>0.45</v>
      </c>
      <c r="K216" s="1">
        <v>1</v>
      </c>
      <c r="L216" t="str">
        <v>Under 1 week / high loss</v>
      </c>
      <c r="M216" t="str">
        <v>Leafy greens, lettuce, salad mix, or shoots</v>
      </c>
      <c r="N216" s="2">
        <v>5.08</v>
      </c>
      <c r="O216" s="2">
        <v>7</v>
      </c>
      <c r="P216" s="2">
        <v>1.92</v>
      </c>
      <c r="Q216" s="1">
        <v>0.3779527559055118</v>
      </c>
      <c r="R216">
        <v>0</v>
      </c>
      <c r="S216" s="2">
        <v>0</v>
      </c>
      <c r="T216" s="2">
        <v>0</v>
      </c>
      <c r="U216" s="1">
        <v>0.45</v>
      </c>
      <c r="V216" t="str">
        <v>No</v>
      </c>
      <c r="W216" s="1">
        <v>0</v>
      </c>
      <c r="X216" t="str">
        <v>No</v>
      </c>
      <c r="Y216" t="str">
        <v>REVIEW hidden / seasonal</v>
      </c>
      <c r="Z216" t="str">
        <v/>
      </c>
      <c r="AA216" t="str">
        <v/>
      </c>
    </row>
    <row r="217">
      <c r="A217" t="str">
        <v>Red Tail Growers</v>
      </c>
      <c r="B217" t="str">
        <v>Organic Vegetables - Leafy Greens 🥬</v>
      </c>
      <c r="C217">
        <v>805956</v>
      </c>
      <c r="D217" t="str">
        <v>Braising Chicories</v>
      </c>
      <c r="E217">
        <v>527016</v>
      </c>
      <c r="F217" t="str">
        <v>1/2 lb</v>
      </c>
      <c r="G217" t="str">
        <v>No</v>
      </c>
      <c r="H217" s="2">
        <v>4</v>
      </c>
      <c r="J217" s="1">
        <v>0.45</v>
      </c>
      <c r="K217" s="1">
        <v>1</v>
      </c>
      <c r="L217" t="str">
        <v>Under 1 week / high loss</v>
      </c>
      <c r="M217" t="str">
        <v>Leafy greens, lettuce, salad mix, or shoots</v>
      </c>
      <c r="N217" s="2">
        <v>5.8</v>
      </c>
      <c r="O217" s="2">
        <v>8</v>
      </c>
      <c r="P217" s="2">
        <v>2.2</v>
      </c>
      <c r="Q217" s="1">
        <v>0.3793103448275863</v>
      </c>
      <c r="R217">
        <v>0</v>
      </c>
      <c r="S217" s="2">
        <v>0</v>
      </c>
      <c r="T217" s="2">
        <v>0</v>
      </c>
      <c r="U217" s="1">
        <v>0.45</v>
      </c>
      <c r="V217" t="str">
        <v>No</v>
      </c>
      <c r="W217" s="1">
        <v>0</v>
      </c>
      <c r="X217" t="str">
        <v>No</v>
      </c>
      <c r="Y217" t="str">
        <v>REVIEW hidden / seasonal</v>
      </c>
      <c r="Z217" t="str">
        <v/>
      </c>
      <c r="AA217" t="str">
        <v/>
      </c>
    </row>
    <row r="218">
      <c r="A218" t="str">
        <v>Red Tail Growers</v>
      </c>
      <c r="B218" t="str">
        <v>Organic Vegetables - Leafy Greens 🥬</v>
      </c>
      <c r="C218">
        <v>906533</v>
      </c>
      <c r="D218" t="str">
        <v>Braising mix (Chard, Bok Choi, and Kale)</v>
      </c>
      <c r="E218">
        <v>650559</v>
      </c>
      <c r="F218" t="str">
        <v>1/2 lb</v>
      </c>
      <c r="G218" t="str">
        <v>Yes</v>
      </c>
      <c r="H218" s="2">
        <v>4.25</v>
      </c>
      <c r="J218" s="1">
        <v>0.45</v>
      </c>
      <c r="K218" s="1">
        <v>1</v>
      </c>
      <c r="L218" t="str">
        <v>Under 1 week / high loss</v>
      </c>
      <c r="M218" t="str">
        <v>Leafy greens, lettuce, salad mix, or shoots</v>
      </c>
      <c r="N218" s="2">
        <v>6.16</v>
      </c>
      <c r="O218" s="2">
        <v>8.5</v>
      </c>
      <c r="P218" s="2">
        <v>2.34</v>
      </c>
      <c r="Q218" s="1">
        <v>0.3798701298701299</v>
      </c>
      <c r="R218">
        <v>21</v>
      </c>
      <c r="S218" s="2">
        <v>121.45</v>
      </c>
      <c r="T218" s="2">
        <v>49.14</v>
      </c>
      <c r="U218" s="1">
        <v>0.45</v>
      </c>
      <c r="V218" t="str">
        <v>No</v>
      </c>
      <c r="W218" s="1">
        <v>0</v>
      </c>
      <c r="X218" t="str">
        <v>No</v>
      </c>
      <c r="Y218" t="str">
        <v>Candidate</v>
      </c>
      <c r="Z218" t="str">
        <v/>
      </c>
      <c r="AA218" t="str">
        <v/>
      </c>
    </row>
    <row r="219">
      <c r="A219" t="str">
        <v>Red Tail Growers</v>
      </c>
      <c r="B219" t="str">
        <v>Organic Vegetables - Leafy Greens 🥬</v>
      </c>
      <c r="C219">
        <v>812611</v>
      </c>
      <c r="D219" t="str">
        <v>Dandelion</v>
      </c>
      <c r="E219">
        <v>534479</v>
      </c>
      <c r="F219" t="str">
        <v>bu</v>
      </c>
      <c r="G219" t="str">
        <v>No</v>
      </c>
      <c r="H219" s="2">
        <v>2</v>
      </c>
      <c r="J219" s="1">
        <v>0.45</v>
      </c>
      <c r="K219" s="1">
        <v>1</v>
      </c>
      <c r="L219" t="str">
        <v>Under 1 week / high loss</v>
      </c>
      <c r="M219" t="str">
        <v>Leafy greens, lettuce, salad mix, or shoots</v>
      </c>
      <c r="N219" s="2">
        <v>2.9</v>
      </c>
      <c r="O219" s="2">
        <v>4</v>
      </c>
      <c r="P219" s="2">
        <v>1.1</v>
      </c>
      <c r="Q219" s="1">
        <v>0.3793103448275863</v>
      </c>
      <c r="R219">
        <v>0</v>
      </c>
      <c r="S219" s="2">
        <v>0</v>
      </c>
      <c r="T219" s="2">
        <v>0</v>
      </c>
      <c r="U219" s="1">
        <v>0.45</v>
      </c>
      <c r="V219" t="str">
        <v>No</v>
      </c>
      <c r="W219" s="1">
        <v>0</v>
      </c>
      <c r="X219" t="str">
        <v>No</v>
      </c>
      <c r="Y219" t="str">
        <v>REVIEW hidden / seasonal</v>
      </c>
      <c r="Z219" t="str">
        <v/>
      </c>
      <c r="AA219" t="str">
        <v/>
      </c>
    </row>
    <row r="220">
      <c r="A220" t="str">
        <v>Red Tail Growers</v>
      </c>
      <c r="B220" t="str">
        <v>Organic Vegetables - Leafy Greens 🥬</v>
      </c>
      <c r="C220">
        <v>812612</v>
      </c>
      <c r="D220" t="str">
        <v>Dandelion, Red</v>
      </c>
      <c r="E220">
        <v>534480</v>
      </c>
      <c r="F220" t="str">
        <v>bu</v>
      </c>
      <c r="G220" t="str">
        <v>Yes</v>
      </c>
      <c r="H220" s="2">
        <v>2.35</v>
      </c>
      <c r="J220" s="1">
        <v>0.45</v>
      </c>
      <c r="K220" s="1">
        <v>1</v>
      </c>
      <c r="L220" t="str">
        <v>Under 1 week / high loss</v>
      </c>
      <c r="M220" t="str">
        <v>Leafy greens, lettuce, salad mix, or shoots</v>
      </c>
      <c r="N220" s="2">
        <v>3.41</v>
      </c>
      <c r="O220" s="2">
        <v>4.7</v>
      </c>
      <c r="P220" s="2">
        <v>1.29</v>
      </c>
      <c r="Q220" s="1">
        <v>0.378299120234604</v>
      </c>
      <c r="R220">
        <v>17</v>
      </c>
      <c r="S220" s="2">
        <v>55.93</v>
      </c>
      <c r="T220" s="2">
        <v>21.93</v>
      </c>
      <c r="U220" s="1">
        <v>0.45</v>
      </c>
      <c r="V220" t="str">
        <v>No</v>
      </c>
      <c r="W220" s="1">
        <v>0</v>
      </c>
      <c r="X220" t="str">
        <v>No</v>
      </c>
      <c r="Y220" t="str">
        <v>Candidate</v>
      </c>
      <c r="Z220" t="str">
        <v/>
      </c>
      <c r="AA220" t="str">
        <v/>
      </c>
    </row>
    <row r="221">
      <c r="A221" t="str">
        <v>Red Tail Growers</v>
      </c>
      <c r="B221" t="str">
        <v>Organic Vegetables - Leafy Greens 🥬</v>
      </c>
      <c r="C221">
        <v>805840</v>
      </c>
      <c r="D221" t="str">
        <v>Escarole</v>
      </c>
      <c r="E221">
        <v>526898</v>
      </c>
      <c r="F221" t="str">
        <v>each</v>
      </c>
      <c r="G221" t="str">
        <v>No</v>
      </c>
      <c r="H221" s="2">
        <v>2.35</v>
      </c>
      <c r="J221" s="1">
        <v>0.45</v>
      </c>
      <c r="K221" s="1">
        <v>1</v>
      </c>
      <c r="L221" t="str">
        <v>Under 1 week / high loss</v>
      </c>
      <c r="M221" t="str">
        <v>Leafy greens, lettuce, salad mix, or shoots</v>
      </c>
      <c r="N221" s="2">
        <v>3.41</v>
      </c>
      <c r="O221" s="2">
        <v>4.7</v>
      </c>
      <c r="P221" s="2">
        <v>1.29</v>
      </c>
      <c r="Q221" s="1">
        <v>0.378299120234604</v>
      </c>
      <c r="R221">
        <v>13</v>
      </c>
      <c r="S221" s="2">
        <v>42.77</v>
      </c>
      <c r="T221" s="2">
        <v>16.77</v>
      </c>
      <c r="U221" s="1">
        <v>0.45</v>
      </c>
      <c r="V221" t="str">
        <v>No</v>
      </c>
      <c r="W221" s="1">
        <v>0</v>
      </c>
      <c r="X221" t="str">
        <v>No</v>
      </c>
      <c r="Y221" t="str">
        <v>REVIEW hidden / seasonal</v>
      </c>
      <c r="Z221" t="str">
        <v/>
      </c>
      <c r="AA221" t="str">
        <v/>
      </c>
    </row>
    <row r="222">
      <c r="A222" t="str">
        <v>Red Tail Growers</v>
      </c>
      <c r="B222" t="str">
        <v>Organic Vegetables - Leafy Greens 🥬</v>
      </c>
      <c r="C222">
        <v>874465</v>
      </c>
      <c r="D222" t="str">
        <v>Fall Salad  Mix</v>
      </c>
      <c r="E222">
        <v>608581</v>
      </c>
      <c r="F222" t="str">
        <v>1/2 lb. bag</v>
      </c>
      <c r="G222" t="str">
        <v>Yes</v>
      </c>
      <c r="H222" s="2">
        <v>4.25</v>
      </c>
      <c r="J222" s="1">
        <v>0.45</v>
      </c>
      <c r="K222" s="1">
        <v>1</v>
      </c>
      <c r="L222" t="str">
        <v>Under 1 week / high loss</v>
      </c>
      <c r="M222" t="str">
        <v>Leafy greens, lettuce, salad mix, or shoots</v>
      </c>
      <c r="N222" s="2">
        <v>6.16</v>
      </c>
      <c r="O222" s="2">
        <v>8.5</v>
      </c>
      <c r="P222" s="2">
        <v>2.34</v>
      </c>
      <c r="Q222" s="1">
        <v>0.3798701298701299</v>
      </c>
      <c r="R222">
        <v>62</v>
      </c>
      <c r="S222" s="2">
        <v>368.9</v>
      </c>
      <c r="T222" s="2">
        <v>145.08</v>
      </c>
      <c r="U222" s="1">
        <v>0.45</v>
      </c>
      <c r="V222" t="str">
        <v>No</v>
      </c>
      <c r="W222" s="1">
        <v>0</v>
      </c>
      <c r="X222" t="str">
        <v>No</v>
      </c>
      <c r="Y222" t="str">
        <v>Candidate</v>
      </c>
      <c r="Z222" t="str">
        <v/>
      </c>
      <c r="AA222" t="str">
        <v/>
      </c>
    </row>
    <row r="223">
      <c r="A223" t="str">
        <v>Red Tail Growers</v>
      </c>
      <c r="B223" t="str">
        <v>Organic Vegetables - Leafy Greens 🥬</v>
      </c>
      <c r="C223">
        <v>964229</v>
      </c>
      <c r="D223" t="str">
        <v>Green  Leaf Lettuce</v>
      </c>
      <c r="E223">
        <v>725669</v>
      </c>
      <c r="F223" t="str">
        <v>each</v>
      </c>
      <c r="G223" t="str">
        <v>Yes</v>
      </c>
      <c r="H223" s="2">
        <v>2</v>
      </c>
      <c r="J223" s="1">
        <v>0.45</v>
      </c>
      <c r="K223" s="1">
        <v>1</v>
      </c>
      <c r="L223" t="str">
        <v>Under 1 week / high loss</v>
      </c>
      <c r="M223" t="str">
        <v>Leafy greens, lettuce, salad mix, or shoots</v>
      </c>
      <c r="N223" s="2">
        <v>2.9</v>
      </c>
      <c r="O223" s="2">
        <v>4</v>
      </c>
      <c r="P223" s="2">
        <v>1.1</v>
      </c>
      <c r="Q223" s="1">
        <v>0.3793103448275863</v>
      </c>
      <c r="R223">
        <v>103</v>
      </c>
      <c r="S223" s="2">
        <v>288.4</v>
      </c>
      <c r="T223" s="2">
        <v>113.3</v>
      </c>
      <c r="U223" s="1">
        <v>0.45</v>
      </c>
      <c r="V223" t="str">
        <v>No</v>
      </c>
      <c r="W223" s="1">
        <v>0</v>
      </c>
      <c r="X223" t="str">
        <v>No</v>
      </c>
      <c r="Y223" t="str">
        <v>Candidate</v>
      </c>
      <c r="Z223" t="str">
        <v/>
      </c>
      <c r="AA223" t="str">
        <v/>
      </c>
    </row>
    <row r="224">
      <c r="A224" t="str">
        <v>Red Tail Growers</v>
      </c>
      <c r="B224" t="str">
        <v>Organic Vegetables - Leafy Greens 🥬</v>
      </c>
      <c r="C224">
        <v>977884</v>
      </c>
      <c r="D224" t="str">
        <v>Iceberg Lettuce</v>
      </c>
      <c r="E224">
        <v>744416</v>
      </c>
      <c r="F224" t="str">
        <v>ea</v>
      </c>
      <c r="G224" t="str">
        <v>No</v>
      </c>
      <c r="H224" s="2">
        <v>1.85</v>
      </c>
      <c r="J224" s="1">
        <v>0.45</v>
      </c>
      <c r="K224" s="1">
        <v>1</v>
      </c>
      <c r="L224" t="str">
        <v>Under 1 week / high loss</v>
      </c>
      <c r="M224" t="str">
        <v>Leafy greens, lettuce, salad mix, or shoots</v>
      </c>
      <c r="N224" s="2">
        <v>2.68</v>
      </c>
      <c r="O224" s="2">
        <v>3.7</v>
      </c>
      <c r="P224" s="2">
        <v>1.02</v>
      </c>
      <c r="Q224" s="1">
        <v>0.380597014925373</v>
      </c>
      <c r="R224">
        <v>0</v>
      </c>
      <c r="S224" s="2">
        <v>0</v>
      </c>
      <c r="T224" s="2">
        <v>0</v>
      </c>
      <c r="U224" s="1">
        <v>0.45</v>
      </c>
      <c r="V224" t="str">
        <v>No</v>
      </c>
      <c r="W224" s="1">
        <v>0</v>
      </c>
      <c r="X224" t="str">
        <v>No</v>
      </c>
      <c r="Y224" t="str">
        <v>REVIEW hidden / seasonal</v>
      </c>
      <c r="Z224" t="str">
        <v/>
      </c>
      <c r="AA224" t="str">
        <v/>
      </c>
    </row>
    <row r="225">
      <c r="A225" t="str">
        <v>Red Tail Growers</v>
      </c>
      <c r="B225" t="str">
        <v>Organic Vegetables - Leafy Greens 🥬</v>
      </c>
      <c r="C225">
        <v>805874</v>
      </c>
      <c r="D225" t="str">
        <v>Kale Mix</v>
      </c>
      <c r="E225">
        <v>526932</v>
      </c>
      <c r="F225" t="str">
        <v>1/2 lb</v>
      </c>
      <c r="G225" t="str">
        <v>Yes</v>
      </c>
      <c r="H225" s="2">
        <v>4.25</v>
      </c>
      <c r="J225" s="1">
        <v>0.45</v>
      </c>
      <c r="K225" s="1">
        <v>1</v>
      </c>
      <c r="L225" t="str">
        <v>Under 1 week / high loss</v>
      </c>
      <c r="M225" t="str">
        <v>Leafy greens, lettuce, salad mix, or shoots</v>
      </c>
      <c r="N225" s="2">
        <v>6.16</v>
      </c>
      <c r="O225" s="2">
        <v>8.5</v>
      </c>
      <c r="P225" s="2">
        <v>2.34</v>
      </c>
      <c r="Q225" s="1">
        <v>0.3798701298701299</v>
      </c>
      <c r="R225">
        <v>13</v>
      </c>
      <c r="S225" s="2">
        <v>77.35</v>
      </c>
      <c r="T225" s="2">
        <v>30.42</v>
      </c>
      <c r="U225" s="1">
        <v>0.45</v>
      </c>
      <c r="V225" t="str">
        <v>No</v>
      </c>
      <c r="W225" s="1">
        <v>0</v>
      </c>
      <c r="X225" t="str">
        <v>No</v>
      </c>
      <c r="Y225" t="str">
        <v>Candidate</v>
      </c>
      <c r="Z225" t="str">
        <v/>
      </c>
      <c r="AA225" t="str">
        <v/>
      </c>
    </row>
    <row r="226">
      <c r="A226" t="str">
        <v>Red Tail Growers</v>
      </c>
      <c r="B226" t="str">
        <v>Organic Vegetables - Leafy Greens 🥬</v>
      </c>
      <c r="C226">
        <v>980313</v>
      </c>
      <c r="D226" t="str">
        <v>Mini Salanova Lettuce Heads (mixed colors and types)</v>
      </c>
      <c r="E226">
        <v>748220</v>
      </c>
      <c r="F226" t="str">
        <v>ea</v>
      </c>
      <c r="G226" t="str">
        <v>No</v>
      </c>
      <c r="H226" s="2">
        <v>1</v>
      </c>
      <c r="J226" s="1">
        <v>0.45</v>
      </c>
      <c r="K226" s="1">
        <v>1</v>
      </c>
      <c r="L226" t="str">
        <v>Under 1 week / high loss</v>
      </c>
      <c r="M226" t="str">
        <v>Leafy greens, lettuce, salad mix, or shoots</v>
      </c>
      <c r="N226" s="2">
        <v>1.45</v>
      </c>
      <c r="O226" s="2">
        <v>2</v>
      </c>
      <c r="P226" s="2">
        <v>0.55</v>
      </c>
      <c r="Q226" s="1">
        <v>0.3793103448275863</v>
      </c>
      <c r="R226">
        <v>0</v>
      </c>
      <c r="S226" s="2">
        <v>0</v>
      </c>
      <c r="T226" s="2">
        <v>0</v>
      </c>
      <c r="U226" s="1">
        <v>0.45</v>
      </c>
      <c r="V226" t="str">
        <v>No</v>
      </c>
      <c r="W226" s="1">
        <v>0</v>
      </c>
      <c r="X226" t="str">
        <v>No</v>
      </c>
      <c r="Y226" t="str">
        <v>REVIEW hidden / seasonal</v>
      </c>
      <c r="Z226" t="str">
        <v/>
      </c>
      <c r="AA226" t="str">
        <v/>
      </c>
    </row>
    <row r="227">
      <c r="A227" t="str">
        <v>Red Tail Growers</v>
      </c>
      <c r="B227" t="str">
        <v>Organic Vegetables - Leafy Greens 🥬</v>
      </c>
      <c r="C227">
        <v>950208</v>
      </c>
      <c r="D227" t="str">
        <v>Mixed Bok Choi and Mustard Raab</v>
      </c>
      <c r="E227">
        <v>706698</v>
      </c>
      <c r="F227" t="str">
        <v>bu</v>
      </c>
      <c r="G227" t="str">
        <v>No</v>
      </c>
      <c r="H227" s="2">
        <v>2.5</v>
      </c>
      <c r="J227" s="1">
        <v>0.45</v>
      </c>
      <c r="K227" s="1">
        <v>1</v>
      </c>
      <c r="L227" t="str">
        <v>Under 1 week / high loss</v>
      </c>
      <c r="M227" t="str">
        <v>Leafy greens, lettuce, salad mix, or shoots</v>
      </c>
      <c r="N227" s="2">
        <v>3.63</v>
      </c>
      <c r="O227" s="2">
        <v>5</v>
      </c>
      <c r="P227" s="2">
        <v>1.37</v>
      </c>
      <c r="Q227" s="1">
        <v>0.3774104683195594</v>
      </c>
      <c r="R227">
        <v>0</v>
      </c>
      <c r="S227" s="2">
        <v>0</v>
      </c>
      <c r="T227" s="2">
        <v>0</v>
      </c>
      <c r="U227" s="1">
        <v>0.45</v>
      </c>
      <c r="V227" t="str">
        <v>No</v>
      </c>
      <c r="W227" s="1">
        <v>0</v>
      </c>
      <c r="X227" t="str">
        <v>No</v>
      </c>
      <c r="Y227" t="str">
        <v>REVIEW hidden / seasonal</v>
      </c>
      <c r="Z227" t="str">
        <v/>
      </c>
      <c r="AA227" t="str">
        <v/>
      </c>
    </row>
    <row r="228">
      <c r="A228" t="str">
        <v>Red Tail Growers</v>
      </c>
      <c r="B228" t="str">
        <v>Organic Vegetables - Leafy Greens 🥬</v>
      </c>
      <c r="C228">
        <v>976636</v>
      </c>
      <c r="D228" t="str">
        <v>Red Leaf Lettuce</v>
      </c>
      <c r="E228">
        <v>742475</v>
      </c>
      <c r="F228" t="str">
        <v>ea</v>
      </c>
      <c r="G228" t="str">
        <v>Yes</v>
      </c>
      <c r="H228" s="2">
        <v>2</v>
      </c>
      <c r="J228" s="1">
        <v>0.45</v>
      </c>
      <c r="K228" s="1">
        <v>1</v>
      </c>
      <c r="L228" t="str">
        <v>Under 1 week / high loss</v>
      </c>
      <c r="M228" t="str">
        <v>Leafy greens, lettuce, salad mix, or shoots</v>
      </c>
      <c r="N228" s="2">
        <v>2.9</v>
      </c>
      <c r="O228" s="2">
        <v>4</v>
      </c>
      <c r="P228" s="2">
        <v>1.1</v>
      </c>
      <c r="Q228" s="1">
        <v>0.3793103448275863</v>
      </c>
      <c r="R228">
        <v>73</v>
      </c>
      <c r="S228" s="2">
        <v>204.4</v>
      </c>
      <c r="T228" s="2">
        <v>80.3</v>
      </c>
      <c r="U228" s="1">
        <v>0.45</v>
      </c>
      <c r="V228" t="str">
        <v>No</v>
      </c>
      <c r="W228" s="1">
        <v>0</v>
      </c>
      <c r="X228" t="str">
        <v>No</v>
      </c>
      <c r="Y228" t="str">
        <v>Candidate</v>
      </c>
      <c r="Z228" t="str">
        <v/>
      </c>
      <c r="AA228" t="str">
        <v/>
      </c>
    </row>
    <row r="229">
      <c r="A229" t="str">
        <v>Red Tail Growers</v>
      </c>
      <c r="B229" t="str">
        <v>Organic Vegetables - Leafy Greens 🥬</v>
      </c>
      <c r="C229">
        <v>874466</v>
      </c>
      <c r="D229" t="str">
        <v>Red Little Gem Lettuce</v>
      </c>
      <c r="E229">
        <v>608582</v>
      </c>
      <c r="F229" t="str">
        <v>ea</v>
      </c>
      <c r="G229" t="str">
        <v>No</v>
      </c>
      <c r="H229" s="2">
        <v>1.75</v>
      </c>
      <c r="J229" s="1">
        <v>0.45</v>
      </c>
      <c r="K229" s="1">
        <v>1</v>
      </c>
      <c r="L229" t="str">
        <v>Under 1 week / high loss</v>
      </c>
      <c r="M229" t="str">
        <v>Leafy greens, lettuce, salad mix, or shoots</v>
      </c>
      <c r="N229" s="2">
        <v>2.54</v>
      </c>
      <c r="O229" s="2">
        <v>3.5</v>
      </c>
      <c r="P229" s="2">
        <v>0.96</v>
      </c>
      <c r="Q229" s="1">
        <v>0.3779527559055118</v>
      </c>
      <c r="R229">
        <v>115</v>
      </c>
      <c r="S229" s="2">
        <v>281.75</v>
      </c>
      <c r="T229" s="2">
        <v>110.4</v>
      </c>
      <c r="U229" s="1">
        <v>0.45</v>
      </c>
      <c r="V229" t="str">
        <v>No</v>
      </c>
      <c r="W229" s="1">
        <v>0</v>
      </c>
      <c r="X229" t="str">
        <v>No</v>
      </c>
      <c r="Y229" t="str">
        <v>REVIEW hidden / seasonal</v>
      </c>
      <c r="Z229" t="str">
        <v/>
      </c>
      <c r="AA229" t="str">
        <v/>
      </c>
    </row>
    <row r="230">
      <c r="A230" t="str">
        <v>Red Tail Growers</v>
      </c>
      <c r="B230" t="str">
        <v>Organic Vegetables - Leafy Greens 🥬</v>
      </c>
      <c r="C230">
        <v>890655</v>
      </c>
      <c r="D230" t="str">
        <v>Salad Chicory Mix</v>
      </c>
      <c r="E230">
        <v>630144</v>
      </c>
      <c r="F230" t="str">
        <v>1/2 lb bag</v>
      </c>
      <c r="G230" t="str">
        <v>No</v>
      </c>
      <c r="H230" s="2">
        <v>3.75</v>
      </c>
      <c r="J230" s="1">
        <v>0.45</v>
      </c>
      <c r="K230" s="1">
        <v>1</v>
      </c>
      <c r="L230" t="str">
        <v>Under 1 week / high loss</v>
      </c>
      <c r="M230" t="str">
        <v>Leafy greens, lettuce, salad mix, or shoots</v>
      </c>
      <c r="N230" s="2">
        <v>5.44</v>
      </c>
      <c r="O230" s="2">
        <v>7.5</v>
      </c>
      <c r="P230" s="2">
        <v>2.06</v>
      </c>
      <c r="Q230" s="1">
        <v>0.3786764705882353</v>
      </c>
      <c r="R230">
        <v>0</v>
      </c>
      <c r="S230" s="2">
        <v>0</v>
      </c>
      <c r="T230" s="2">
        <v>0</v>
      </c>
      <c r="U230" s="1">
        <v>0.45</v>
      </c>
      <c r="V230" t="str">
        <v>No</v>
      </c>
      <c r="W230" s="1">
        <v>0</v>
      </c>
      <c r="X230" t="str">
        <v>No</v>
      </c>
      <c r="Y230" t="str">
        <v>REVIEW hidden / seasonal</v>
      </c>
      <c r="Z230" t="str">
        <v/>
      </c>
      <c r="AA230" t="str">
        <v/>
      </c>
    </row>
    <row r="231">
      <c r="A231" t="str">
        <v>Red Tail Growers</v>
      </c>
      <c r="B231" t="str">
        <v>Organic Vegetables - Leafy Greens 🥬</v>
      </c>
      <c r="C231">
        <v>890653</v>
      </c>
      <c r="D231" t="str">
        <v>Siberian Kale</v>
      </c>
      <c r="E231">
        <v>630142</v>
      </c>
      <c r="F231" t="str">
        <v>bu</v>
      </c>
      <c r="G231" t="str">
        <v>Yes</v>
      </c>
      <c r="H231" s="2">
        <v>2</v>
      </c>
      <c r="J231" s="1">
        <v>0.45</v>
      </c>
      <c r="K231" s="1">
        <v>1</v>
      </c>
      <c r="L231" t="str">
        <v>Under 1 week / high loss</v>
      </c>
      <c r="M231" t="str">
        <v>Leafy greens, lettuce, salad mix, or shoots</v>
      </c>
      <c r="N231" s="2">
        <v>2.9</v>
      </c>
      <c r="O231" s="2">
        <v>4</v>
      </c>
      <c r="P231" s="2">
        <v>1.1</v>
      </c>
      <c r="Q231" s="1">
        <v>0.3793103448275863</v>
      </c>
      <c r="R231">
        <v>0</v>
      </c>
      <c r="S231" s="2">
        <v>0</v>
      </c>
      <c r="T231" s="2">
        <v>0</v>
      </c>
      <c r="U231" s="1">
        <v>0.45</v>
      </c>
      <c r="V231" t="str">
        <v>No</v>
      </c>
      <c r="W231" s="1">
        <v>0</v>
      </c>
      <c r="X231" t="str">
        <v>No</v>
      </c>
      <c r="Y231" t="str">
        <v>Candidate</v>
      </c>
      <c r="Z231" t="str">
        <v/>
      </c>
      <c r="AA231" t="str">
        <v/>
      </c>
    </row>
    <row r="232">
      <c r="A232" t="str">
        <v>Red Tail Growers</v>
      </c>
      <c r="B232" t="str">
        <v>Organic Vegetables - Leafy Greens 🥬</v>
      </c>
      <c r="C232">
        <v>805842</v>
      </c>
      <c r="D232" t="str">
        <v>Tatsoi</v>
      </c>
      <c r="E232">
        <v>526900</v>
      </c>
      <c r="F232" t="str">
        <v>1/2 lb bag</v>
      </c>
      <c r="G232" t="str">
        <v>No</v>
      </c>
      <c r="H232" s="2">
        <v>3.5</v>
      </c>
      <c r="J232" s="1">
        <v>0.45</v>
      </c>
      <c r="K232" s="1">
        <v>1</v>
      </c>
      <c r="L232" t="str">
        <v>Under 1 week / high loss</v>
      </c>
      <c r="M232" t="str">
        <v>Leafy greens, lettuce, salad mix, or shoots</v>
      </c>
      <c r="N232" s="2">
        <v>5.08</v>
      </c>
      <c r="O232" s="2">
        <v>7</v>
      </c>
      <c r="P232" s="2">
        <v>1.92</v>
      </c>
      <c r="Q232" s="1">
        <v>0.3779527559055118</v>
      </c>
      <c r="R232">
        <v>0</v>
      </c>
      <c r="S232" s="2">
        <v>0</v>
      </c>
      <c r="T232" s="2">
        <v>0</v>
      </c>
      <c r="U232" s="1">
        <v>0.45</v>
      </c>
      <c r="V232" t="str">
        <v>No</v>
      </c>
      <c r="W232" s="1">
        <v>0</v>
      </c>
      <c r="X232" t="str">
        <v>No</v>
      </c>
      <c r="Y232" t="str">
        <v>REVIEW hidden / seasonal</v>
      </c>
      <c r="Z232" t="str">
        <v/>
      </c>
      <c r="AA232" t="str">
        <v/>
      </c>
    </row>
    <row r="233">
      <c r="A233" t="str">
        <v>Red Tail Growers</v>
      </c>
      <c r="B233" t="str">
        <v>Organic Vegetables - Leafy Greens 🥬</v>
      </c>
      <c r="C233">
        <v>906536</v>
      </c>
      <c r="D233" t="str">
        <v>White Russian Kale</v>
      </c>
      <c r="E233">
        <v>650562</v>
      </c>
      <c r="F233" t="str">
        <v>bu</v>
      </c>
      <c r="G233" t="str">
        <v>No</v>
      </c>
      <c r="H233" s="2">
        <v>2</v>
      </c>
      <c r="J233" s="1">
        <v>0.45</v>
      </c>
      <c r="K233" s="1">
        <v>1</v>
      </c>
      <c r="L233" t="str">
        <v>Under 1 week / high loss</v>
      </c>
      <c r="M233" t="str">
        <v>Leafy greens, lettuce, salad mix, or shoots</v>
      </c>
      <c r="N233" s="2">
        <v>2.9</v>
      </c>
      <c r="O233" s="2">
        <v>4</v>
      </c>
      <c r="P233" s="2">
        <v>1.1</v>
      </c>
      <c r="Q233" s="1">
        <v>0.3793103448275863</v>
      </c>
      <c r="R233">
        <v>0</v>
      </c>
      <c r="S233" s="2">
        <v>0</v>
      </c>
      <c r="T233" s="2">
        <v>0</v>
      </c>
      <c r="U233" s="1">
        <v>0.45</v>
      </c>
      <c r="V233" t="str">
        <v>No</v>
      </c>
      <c r="W233" s="1">
        <v>0</v>
      </c>
      <c r="X233" t="str">
        <v>No</v>
      </c>
      <c r="Y233" t="str">
        <v>REVIEW hidden / seasonal</v>
      </c>
      <c r="Z233" t="str">
        <v/>
      </c>
      <c r="AA233" t="str">
        <v/>
      </c>
    </row>
    <row r="234">
      <c r="A234" t="str">
        <v>Red Tail Growers</v>
      </c>
      <c r="B234" t="str">
        <v>Organic Vegetables - Leafy Greens 🥬</v>
      </c>
      <c r="C234">
        <v>812623</v>
      </c>
      <c r="D234" t="str">
        <v>Young Chicory</v>
      </c>
      <c r="E234">
        <v>534491</v>
      </c>
      <c r="F234" t="str">
        <v>ea</v>
      </c>
      <c r="G234" t="str">
        <v>No</v>
      </c>
      <c r="H234" s="2">
        <v>1.5</v>
      </c>
      <c r="J234" s="1">
        <v>0.45</v>
      </c>
      <c r="K234" s="1">
        <v>1</v>
      </c>
      <c r="L234" t="str">
        <v>Under 1 week / high loss</v>
      </c>
      <c r="M234" t="str">
        <v>Leafy greens, lettuce, salad mix, or shoots</v>
      </c>
      <c r="N234" s="2">
        <v>2.17</v>
      </c>
      <c r="O234" s="2">
        <v>3</v>
      </c>
      <c r="P234" s="2">
        <v>0.83</v>
      </c>
      <c r="Q234" s="1">
        <v>0.3824884792626728</v>
      </c>
      <c r="R234">
        <v>0</v>
      </c>
      <c r="S234" s="2">
        <v>0</v>
      </c>
      <c r="T234" s="2">
        <v>0</v>
      </c>
      <c r="U234" s="1">
        <v>0.45</v>
      </c>
      <c r="V234" t="str">
        <v>No</v>
      </c>
      <c r="W234" s="1">
        <v>0</v>
      </c>
      <c r="X234" t="str">
        <v>No</v>
      </c>
      <c r="Y234" t="str">
        <v>REVIEW hidden / seasonal</v>
      </c>
      <c r="Z234" t="str">
        <v/>
      </c>
      <c r="AA234" t="str">
        <v/>
      </c>
    </row>
    <row r="235">
      <c r="A235" t="str">
        <v>Small is Beautiful Farm</v>
      </c>
      <c r="B235" t="str">
        <v>Organic Vegetables - Leafy Greens 🥬</v>
      </c>
      <c r="C235">
        <v>805838</v>
      </c>
      <c r="D235" t="str">
        <v>Arugula</v>
      </c>
      <c r="E235">
        <v>526896</v>
      </c>
      <c r="F235" t="str">
        <v>1 bunch</v>
      </c>
      <c r="G235" t="str">
        <v>No</v>
      </c>
      <c r="H235" s="2">
        <v>2.5</v>
      </c>
      <c r="J235" s="1">
        <v>0.45</v>
      </c>
      <c r="K235" s="1">
        <v>1</v>
      </c>
      <c r="L235" t="str">
        <v>Under 1 week / high loss</v>
      </c>
      <c r="M235" t="str">
        <v>Leafy greens, lettuce, salad mix, or shoots</v>
      </c>
      <c r="N235" s="2">
        <v>3.63</v>
      </c>
      <c r="O235" s="2">
        <v>5</v>
      </c>
      <c r="P235" s="2">
        <v>1.37</v>
      </c>
      <c r="Q235" s="1">
        <v>0.3774104683195594</v>
      </c>
      <c r="R235">
        <v>0</v>
      </c>
      <c r="S235" s="2">
        <v>0</v>
      </c>
      <c r="T235" s="2">
        <v>0</v>
      </c>
      <c r="U235" s="1">
        <v>0.45</v>
      </c>
      <c r="V235" t="str">
        <v>No</v>
      </c>
      <c r="W235" s="1">
        <v>0</v>
      </c>
      <c r="X235" t="str">
        <v>No</v>
      </c>
      <c r="Y235" t="str">
        <v>REVIEW hidden / seasonal</v>
      </c>
      <c r="Z235" t="str">
        <v/>
      </c>
      <c r="AA235" t="str">
        <v/>
      </c>
    </row>
    <row r="236">
      <c r="A236" t="str">
        <v>Small is Beautiful Farm</v>
      </c>
      <c r="B236" t="str">
        <v>Organic Vegetables - Leafy Greens 🥬</v>
      </c>
      <c r="C236">
        <v>1014310</v>
      </c>
      <c r="D236" t="str">
        <v>Braising Green Bundle</v>
      </c>
      <c r="E236">
        <v>798441</v>
      </c>
      <c r="F236" t="str">
        <v>bu</v>
      </c>
      <c r="G236" t="str">
        <v>No</v>
      </c>
      <c r="H236" s="2">
        <v>2.5</v>
      </c>
      <c r="J236" s="1">
        <v>0.45</v>
      </c>
      <c r="K236" s="1">
        <v>1</v>
      </c>
      <c r="L236" t="str">
        <v>Under 1 week / high loss</v>
      </c>
      <c r="M236" t="str">
        <v>Leafy greens, lettuce, salad mix, or shoots</v>
      </c>
      <c r="N236" s="2">
        <v>3.63</v>
      </c>
      <c r="O236" s="2">
        <v>5</v>
      </c>
      <c r="P236" s="2">
        <v>1.37</v>
      </c>
      <c r="Q236" s="1">
        <v>0.3774104683195594</v>
      </c>
      <c r="R236">
        <v>0</v>
      </c>
      <c r="S236" s="2">
        <v>0</v>
      </c>
      <c r="T236" s="2">
        <v>0</v>
      </c>
      <c r="U236" s="1">
        <v>0.45</v>
      </c>
      <c r="V236" t="str">
        <v>No</v>
      </c>
      <c r="W236" s="1">
        <v>0</v>
      </c>
      <c r="X236" t="str">
        <v>No</v>
      </c>
      <c r="Y236" t="str">
        <v>REVIEW hidden / seasonal</v>
      </c>
      <c r="Z236" t="str">
        <v/>
      </c>
      <c r="AA236" t="str">
        <v/>
      </c>
    </row>
    <row r="237">
      <c r="A237" t="str">
        <v>Small is Beautiful Farm</v>
      </c>
      <c r="B237" t="str">
        <v>Organic Vegetables - Leafy Greens 🥬</v>
      </c>
      <c r="C237">
        <v>805832</v>
      </c>
      <c r="D237" t="str">
        <v>Spinach  1/2 Lb.</v>
      </c>
      <c r="E237">
        <v>526889</v>
      </c>
      <c r="F237" t="str">
        <v>each</v>
      </c>
      <c r="G237" t="str">
        <v>No</v>
      </c>
      <c r="H237" s="2">
        <v>4</v>
      </c>
      <c r="J237" s="1">
        <v>0.45</v>
      </c>
      <c r="K237" s="1">
        <v>1</v>
      </c>
      <c r="L237" t="str">
        <v>Under 1 week / high loss</v>
      </c>
      <c r="M237" t="str">
        <v>Leafy greens, lettuce, salad mix, or shoots</v>
      </c>
      <c r="N237" s="2">
        <v>5.8</v>
      </c>
      <c r="O237" s="2">
        <v>8</v>
      </c>
      <c r="P237" s="2">
        <v>2.2</v>
      </c>
      <c r="Q237" s="1">
        <v>0.3793103448275863</v>
      </c>
      <c r="R237">
        <v>62</v>
      </c>
      <c r="S237" s="2">
        <v>347.2</v>
      </c>
      <c r="T237" s="2">
        <v>136.4</v>
      </c>
      <c r="U237" s="1">
        <v>0.45</v>
      </c>
      <c r="V237" t="str">
        <v>No</v>
      </c>
      <c r="W237" s="1">
        <v>0</v>
      </c>
      <c r="X237" t="str">
        <v>No</v>
      </c>
      <c r="Y237" t="str">
        <v>REVIEW hidden / seasonal</v>
      </c>
      <c r="Z237" t="str">
        <v/>
      </c>
      <c r="AA237" t="str">
        <v/>
      </c>
    </row>
    <row r="238">
      <c r="A238" t="str">
        <v>Winter Green Farm</v>
      </c>
      <c r="B238" t="str">
        <v>Organic Vegetables - Leafy Greens 🥬</v>
      </c>
      <c r="C238">
        <v>805831</v>
      </c>
      <c r="D238" t="str">
        <v>Collard Greens</v>
      </c>
      <c r="E238">
        <v>526888</v>
      </c>
      <c r="F238" t="str">
        <v>each</v>
      </c>
      <c r="G238" t="str">
        <v>No</v>
      </c>
      <c r="H238" s="2">
        <v>1.65</v>
      </c>
      <c r="J238" s="1">
        <v>0.45</v>
      </c>
      <c r="K238" s="1">
        <v>1</v>
      </c>
      <c r="L238" t="str">
        <v>Under 1 week / high loss</v>
      </c>
      <c r="M238" t="str">
        <v>Leafy greens, lettuce, salad mix, or shoots</v>
      </c>
      <c r="N238" s="2">
        <v>2.39</v>
      </c>
      <c r="O238" s="2">
        <v>3.3</v>
      </c>
      <c r="P238" s="2">
        <v>0.91</v>
      </c>
      <c r="Q238" s="1">
        <v>0.38075313807531375</v>
      </c>
      <c r="R238">
        <v>83</v>
      </c>
      <c r="S238" s="2">
        <v>203.27</v>
      </c>
      <c r="T238" s="2">
        <v>75.53</v>
      </c>
      <c r="U238" s="1">
        <v>0.45</v>
      </c>
      <c r="V238" t="str">
        <v>No</v>
      </c>
      <c r="W238" s="1">
        <v>0</v>
      </c>
      <c r="X238" t="str">
        <v>No</v>
      </c>
      <c r="Y238" t="str">
        <v>REVIEW hidden / seasonal</v>
      </c>
      <c r="Z238" t="str">
        <v/>
      </c>
      <c r="AA238" t="str">
        <v/>
      </c>
    </row>
    <row r="239">
      <c r="A239" t="str">
        <v>Winter Green Farm</v>
      </c>
      <c r="B239" t="str">
        <v>Organic Vegetables - Leafy Greens 🥬</v>
      </c>
      <c r="C239">
        <v>912556</v>
      </c>
      <c r="D239" t="str">
        <v>Red Chard</v>
      </c>
      <c r="E239">
        <v>657843</v>
      </c>
      <c r="F239" t="str">
        <v>ea</v>
      </c>
      <c r="G239" t="str">
        <v>No</v>
      </c>
      <c r="H239" s="2">
        <v>2</v>
      </c>
      <c r="J239" s="1">
        <v>0.45</v>
      </c>
      <c r="K239" s="1">
        <v>1</v>
      </c>
      <c r="L239" t="str">
        <v>Under 1 week / high loss</v>
      </c>
      <c r="M239" t="str">
        <v>Leafy greens, lettuce, salad mix, or shoots</v>
      </c>
      <c r="N239" s="2">
        <v>2.9</v>
      </c>
      <c r="O239" s="2">
        <v>4</v>
      </c>
      <c r="P239" s="2">
        <v>1.1</v>
      </c>
      <c r="Q239" s="1">
        <v>0.3793103448275863</v>
      </c>
      <c r="R239">
        <v>5</v>
      </c>
      <c r="S239" s="2">
        <v>14</v>
      </c>
      <c r="T239" s="2">
        <v>5.5</v>
      </c>
      <c r="U239" s="1">
        <v>0.45</v>
      </c>
      <c r="V239" t="str">
        <v>No</v>
      </c>
      <c r="W239" s="1">
        <v>0</v>
      </c>
      <c r="X239" t="str">
        <v>No</v>
      </c>
      <c r="Y239" t="str">
        <v>REVIEW hidden / seasonal</v>
      </c>
      <c r="Z239" t="str">
        <v/>
      </c>
      <c r="AA239" t="str">
        <v/>
      </c>
    </row>
    <row r="240">
      <c r="A240" t="str">
        <v>Camas Swale Farm</v>
      </c>
      <c r="B240" t="str">
        <v>Organic Vegetables - Roots 🧅🧄 🥕🥔</v>
      </c>
      <c r="C240">
        <v>995528</v>
      </c>
      <c r="D240" t="str">
        <v>Austrian Cresent Fingerling Potatoes</v>
      </c>
      <c r="E240">
        <v>769868</v>
      </c>
      <c r="F240" t="str">
        <v>lb</v>
      </c>
      <c r="G240" t="str">
        <v>No</v>
      </c>
      <c r="H240" s="2">
        <v>2.25</v>
      </c>
      <c r="J240" s="1">
        <v>0.45</v>
      </c>
      <c r="K240" s="1">
        <v>0.45</v>
      </c>
      <c r="L240" t="str">
        <v>1 month+ / preserved</v>
      </c>
      <c r="M240" t="str">
        <v>Storage root or cured allium; confirm tops removed and correct storage</v>
      </c>
      <c r="N240" s="2">
        <v>3.26</v>
      </c>
      <c r="O240" s="2">
        <v>3.26</v>
      </c>
      <c r="P240" s="2">
        <v>0</v>
      </c>
      <c r="Q240" s="1">
        <v>0</v>
      </c>
      <c r="R240">
        <v>137</v>
      </c>
      <c r="S240" s="2">
        <v>431.55</v>
      </c>
      <c r="T240" s="2">
        <v>0</v>
      </c>
      <c r="U240" s="1">
        <v>0.45</v>
      </c>
      <c r="V240" t="str">
        <v>No</v>
      </c>
      <c r="W240" s="1">
        <v>0</v>
      </c>
      <c r="X240" t="str">
        <v>No</v>
      </c>
      <c r="Y240" t="str">
        <v>REVIEW hidden / seasonal</v>
      </c>
      <c r="Z240" t="str">
        <v/>
      </c>
      <c r="AA240" t="str">
        <v/>
      </c>
    </row>
    <row r="241">
      <c r="A241" t="str">
        <v>Full Farm CSA</v>
      </c>
      <c r="B241" t="str">
        <v>Organic Vegetables - Roots 🧅🧄 🥕🥔</v>
      </c>
      <c r="C241">
        <v>995521</v>
      </c>
      <c r="D241" t="str">
        <v>Dried and cured Inchellium Garlic</v>
      </c>
      <c r="E241">
        <v>769835</v>
      </c>
      <c r="F241" t="str">
        <v>lb</v>
      </c>
      <c r="G241" t="str">
        <v>No</v>
      </c>
      <c r="H241" s="2">
        <v>8</v>
      </c>
      <c r="J241" s="1">
        <v>0.45</v>
      </c>
      <c r="K241" s="1">
        <v>0.45</v>
      </c>
      <c r="L241" t="str">
        <v>1 month+ / preserved</v>
      </c>
      <c r="M241" t="str">
        <v>Frozen, dried, or cured</v>
      </c>
      <c r="N241" s="2">
        <v>11.6</v>
      </c>
      <c r="O241" s="2">
        <v>11.6</v>
      </c>
      <c r="P241" s="2">
        <v>0</v>
      </c>
      <c r="Q241" s="1">
        <v>0</v>
      </c>
      <c r="R241">
        <v>50</v>
      </c>
      <c r="S241" s="2">
        <v>560</v>
      </c>
      <c r="T241" s="2">
        <v>0</v>
      </c>
      <c r="U241" s="1">
        <v>0.45</v>
      </c>
      <c r="V241" t="str">
        <v>No</v>
      </c>
      <c r="W241" s="1">
        <v>0</v>
      </c>
      <c r="X241" t="str">
        <v>No</v>
      </c>
      <c r="Y241" t="str">
        <v>REVIEW hidden / seasonal</v>
      </c>
      <c r="Z241" t="str">
        <v/>
      </c>
      <c r="AA241" t="str">
        <v/>
      </c>
    </row>
    <row r="242">
      <c r="A242" t="str">
        <v>Full Farm CSA</v>
      </c>
      <c r="B242" t="str">
        <v>Organic Vegetables - Roots 🧅🧄 🥕🥔</v>
      </c>
      <c r="C242">
        <v>1018199</v>
      </c>
      <c r="D242" t="str">
        <v>Purple Top Turnip</v>
      </c>
      <c r="E242">
        <v>803763</v>
      </c>
      <c r="F242" t="str">
        <v>lb</v>
      </c>
      <c r="G242" t="str">
        <v>No</v>
      </c>
      <c r="H242" s="2">
        <v>1.8</v>
      </c>
      <c r="J242" s="1">
        <v>0.45</v>
      </c>
      <c r="K242" s="1">
        <v>0.45</v>
      </c>
      <c r="L242" t="str">
        <v>1 month+ / preserved</v>
      </c>
      <c r="M242" t="str">
        <v>Storage root or cured allium; confirm tops removed and correct storage</v>
      </c>
      <c r="N242" s="2">
        <v>2.61</v>
      </c>
      <c r="O242" s="2">
        <v>2.61</v>
      </c>
      <c r="P242" s="2">
        <v>0</v>
      </c>
      <c r="Q242" s="1">
        <v>0</v>
      </c>
      <c r="R242">
        <v>26</v>
      </c>
      <c r="S242" s="2">
        <v>65.52</v>
      </c>
      <c r="T242" s="2">
        <v>0</v>
      </c>
      <c r="U242" s="1">
        <v>0.45</v>
      </c>
      <c r="V242" t="str">
        <v>No</v>
      </c>
      <c r="W242" s="1">
        <v>0</v>
      </c>
      <c r="X242" t="str">
        <v>No</v>
      </c>
      <c r="Y242" t="str">
        <v>REVIEW hidden / seasonal</v>
      </c>
      <c r="Z242" t="str">
        <v/>
      </c>
      <c r="AA242" t="str">
        <v/>
      </c>
    </row>
    <row r="243">
      <c r="A243" t="str">
        <v>Grazier's Garden</v>
      </c>
      <c r="B243" t="str">
        <v>Organic Vegetables - Roots 🧅🧄 🥕🥔</v>
      </c>
      <c r="C243">
        <v>986031</v>
      </c>
      <c r="D243" t="str">
        <v>Pehoski Purple Bulb Garlic</v>
      </c>
      <c r="E243">
        <v>756214</v>
      </c>
      <c r="F243" t="str">
        <v>1/2 lb</v>
      </c>
      <c r="G243" t="str">
        <v>No</v>
      </c>
      <c r="H243" s="2">
        <v>5</v>
      </c>
      <c r="J243" s="1">
        <v>0.45</v>
      </c>
      <c r="K243" s="1">
        <v>0.45</v>
      </c>
      <c r="L243" t="str">
        <v>1 month+ / preserved</v>
      </c>
      <c r="M243" t="str">
        <v>Storage root or cured allium; confirm tops removed and correct storage</v>
      </c>
      <c r="N243" s="2">
        <v>7.25</v>
      </c>
      <c r="O243" s="2">
        <v>7.25</v>
      </c>
      <c r="P243" s="2">
        <v>0</v>
      </c>
      <c r="Q243" s="1">
        <v>0</v>
      </c>
      <c r="R243">
        <v>0</v>
      </c>
      <c r="S243" s="2">
        <v>0</v>
      </c>
      <c r="T243" s="2">
        <v>0</v>
      </c>
      <c r="U243" s="1">
        <v>0.45</v>
      </c>
      <c r="V243" t="str">
        <v>No</v>
      </c>
      <c r="W243" s="1">
        <v>0</v>
      </c>
      <c r="X243" t="str">
        <v>No</v>
      </c>
      <c r="Y243" t="str">
        <v>REVIEW hidden / seasonal</v>
      </c>
      <c r="Z243" t="str">
        <v/>
      </c>
      <c r="AA243" t="str">
        <v/>
      </c>
    </row>
    <row r="244">
      <c r="A244" t="str">
        <v>Little Wings</v>
      </c>
      <c r="B244" t="str">
        <v>Organic Vegetables - Roots 🧅🧄 🥕🥔</v>
      </c>
      <c r="C244">
        <v>991548</v>
      </c>
      <c r="D244" t="str">
        <v>Cosmic Gold Potato</v>
      </c>
      <c r="E244">
        <v>763969</v>
      </c>
      <c r="F244" t="str">
        <v>lb</v>
      </c>
      <c r="G244" t="str">
        <v>No</v>
      </c>
      <c r="H244" s="2">
        <v>2.25</v>
      </c>
      <c r="J244" s="1">
        <v>0.45</v>
      </c>
      <c r="K244" s="1">
        <v>0.45</v>
      </c>
      <c r="L244" t="str">
        <v>1 month+ / preserved</v>
      </c>
      <c r="M244" t="str">
        <v>Storage root or cured allium; confirm tops removed and correct storage</v>
      </c>
      <c r="N244" s="2">
        <v>3.26</v>
      </c>
      <c r="O244" s="2">
        <v>3.26</v>
      </c>
      <c r="P244" s="2">
        <v>0</v>
      </c>
      <c r="Q244" s="1">
        <v>0</v>
      </c>
      <c r="R244">
        <v>0</v>
      </c>
      <c r="S244" s="2">
        <v>0</v>
      </c>
      <c r="T244" s="2">
        <v>0</v>
      </c>
      <c r="U244" s="1">
        <v>0.45</v>
      </c>
      <c r="V244" t="str">
        <v>No</v>
      </c>
      <c r="W244" s="1">
        <v>0</v>
      </c>
      <c r="X244" t="str">
        <v>No</v>
      </c>
      <c r="Y244" t="str">
        <v>REVIEW hidden / seasonal</v>
      </c>
      <c r="Z244" t="str">
        <v/>
      </c>
      <c r="AA244" t="str">
        <v/>
      </c>
    </row>
    <row r="245">
      <c r="A245" t="str">
        <v>Organically Grown Company</v>
      </c>
      <c r="B245" t="str">
        <v>Organic Vegetables - Roots 🧅🧄 🥕🥔</v>
      </c>
      <c r="C245">
        <v>1028364</v>
      </c>
      <c r="D245" t="str">
        <v>Soft-neck Garlic ( CA )</v>
      </c>
      <c r="E245">
        <v>818332</v>
      </c>
      <c r="F245" t="str">
        <v>1/2 lb</v>
      </c>
      <c r="G245" t="str">
        <v>No</v>
      </c>
      <c r="H245" s="2">
        <v>2.66</v>
      </c>
      <c r="J245" s="1">
        <v>0.45</v>
      </c>
      <c r="K245" s="1">
        <v>0.45</v>
      </c>
      <c r="L245" t="str">
        <v>1 month+ / preserved</v>
      </c>
      <c r="M245" t="str">
        <v>Storage root or cured allium; confirm tops removed and correct storage</v>
      </c>
      <c r="N245" s="2">
        <v>3.86</v>
      </c>
      <c r="O245" s="2">
        <v>3.86</v>
      </c>
      <c r="P245" s="2">
        <v>0</v>
      </c>
      <c r="Q245" s="1">
        <v>0</v>
      </c>
      <c r="R245">
        <v>487</v>
      </c>
      <c r="S245" s="2">
        <v>1818.04</v>
      </c>
      <c r="T245" s="2">
        <v>0</v>
      </c>
      <c r="U245" s="1">
        <v>0.45</v>
      </c>
      <c r="V245" t="str">
        <v>No</v>
      </c>
      <c r="W245" s="1">
        <v>0</v>
      </c>
      <c r="X245" t="str">
        <v>No</v>
      </c>
      <c r="Y245" t="str">
        <v>REVIEW hidden / seasonal</v>
      </c>
      <c r="Z245" t="str">
        <v/>
      </c>
      <c r="AA245" t="str">
        <v/>
      </c>
    </row>
    <row r="246">
      <c r="A246" t="str">
        <v>Organically Grown Company</v>
      </c>
      <c r="B246" t="str">
        <v>Organic Vegetables - Roots 🧅🧄 🥕🥔</v>
      </c>
      <c r="C246">
        <v>940149</v>
      </c>
      <c r="D246" t="str">
        <v>White Onion</v>
      </c>
      <c r="E246">
        <v>693996</v>
      </c>
      <c r="F246" t="str">
        <v>2# bag</v>
      </c>
      <c r="G246" t="str">
        <v>No</v>
      </c>
      <c r="H246" s="2">
        <v>3.1</v>
      </c>
      <c r="J246" s="1">
        <v>0.45</v>
      </c>
      <c r="K246" s="1">
        <v>0.45</v>
      </c>
      <c r="L246" t="str">
        <v>1 month+ / preserved</v>
      </c>
      <c r="M246" t="str">
        <v>Storage root or cured allium; confirm tops removed and correct storage</v>
      </c>
      <c r="N246" s="2">
        <v>4.5</v>
      </c>
      <c r="O246" s="2">
        <v>4.5</v>
      </c>
      <c r="P246" s="2">
        <v>0</v>
      </c>
      <c r="Q246" s="1">
        <v>0</v>
      </c>
      <c r="R246">
        <v>0</v>
      </c>
      <c r="S246" s="2">
        <v>0</v>
      </c>
      <c r="T246" s="2">
        <v>0</v>
      </c>
      <c r="U246" s="1">
        <v>0.45</v>
      </c>
      <c r="V246" t="str">
        <v>No</v>
      </c>
      <c r="W246" s="1">
        <v>0</v>
      </c>
      <c r="X246" t="str">
        <v>No</v>
      </c>
      <c r="Y246" t="str">
        <v>REVIEW hidden / seasonal</v>
      </c>
      <c r="Z246" t="str">
        <v/>
      </c>
      <c r="AA246" t="str">
        <v/>
      </c>
    </row>
    <row r="247">
      <c r="A247" t="str">
        <v>Small is Beautiful Farm</v>
      </c>
      <c r="B247" t="str">
        <v>Organic Vegetables - Roots 🧅🧄 🥕🥔</v>
      </c>
      <c r="C247">
        <v>956222</v>
      </c>
      <c r="D247" t="str">
        <v>German Butterball Potatoes</v>
      </c>
      <c r="E247">
        <v>714932</v>
      </c>
      <c r="F247" t="str">
        <v>lb</v>
      </c>
      <c r="G247" t="str">
        <v>No</v>
      </c>
      <c r="H247" s="2">
        <v>2</v>
      </c>
      <c r="J247" s="1">
        <v>0.45</v>
      </c>
      <c r="K247" s="1">
        <v>0.45</v>
      </c>
      <c r="L247" t="str">
        <v>1 month+ / preserved</v>
      </c>
      <c r="M247" t="str">
        <v>Storage root or cured allium; confirm tops removed and correct storage</v>
      </c>
      <c r="N247" s="2">
        <v>2.9</v>
      </c>
      <c r="O247" s="2">
        <v>2.9</v>
      </c>
      <c r="P247" s="2">
        <v>0</v>
      </c>
      <c r="Q247" s="1">
        <v>0</v>
      </c>
      <c r="R247">
        <v>0</v>
      </c>
      <c r="S247" s="2">
        <v>0</v>
      </c>
      <c r="T247" s="2">
        <v>0</v>
      </c>
      <c r="U247" s="1">
        <v>0.45</v>
      </c>
      <c r="V247" t="str">
        <v>No</v>
      </c>
      <c r="W247" s="1">
        <v>0</v>
      </c>
      <c r="X247" t="str">
        <v>No</v>
      </c>
      <c r="Y247" t="str">
        <v>REVIEW hidden / seasonal</v>
      </c>
      <c r="Z247" t="str">
        <v/>
      </c>
      <c r="AA247" t="str">
        <v/>
      </c>
    </row>
    <row r="248">
      <c r="A248" t="str">
        <v>Camas Swale Farm</v>
      </c>
      <c r="B248" t="str">
        <v>Organic Vegetables - Roots 🧅🧄 🥕🥔</v>
      </c>
      <c r="C248">
        <v>964215</v>
      </c>
      <c r="D248" t="str">
        <v>Cherry Belle Radish</v>
      </c>
      <c r="E248">
        <v>725650</v>
      </c>
      <c r="F248" t="str">
        <v>bu</v>
      </c>
      <c r="G248" t="str">
        <v>No</v>
      </c>
      <c r="H248" s="2">
        <v>2</v>
      </c>
      <c r="J248" s="1">
        <v>0.45</v>
      </c>
      <c r="K248" s="1">
        <v>0.6</v>
      </c>
      <c r="L248" t="str">
        <v>1 week to under 1 month</v>
      </c>
      <c r="M248" t="str">
        <v>Fresh root or allium generally kept for weeks</v>
      </c>
      <c r="N248" s="2">
        <v>2.9</v>
      </c>
      <c r="O248" s="2">
        <v>3.2</v>
      </c>
      <c r="P248" s="2">
        <v>0.3</v>
      </c>
      <c r="Q248" s="1">
        <v>0.10344827586206895</v>
      </c>
      <c r="R248">
        <v>0</v>
      </c>
      <c r="S248" s="2">
        <v>0</v>
      </c>
      <c r="T248" s="2">
        <v>0</v>
      </c>
      <c r="U248" s="1">
        <v>0.45</v>
      </c>
      <c r="V248" t="str">
        <v>No</v>
      </c>
      <c r="W248" s="1">
        <v>0</v>
      </c>
      <c r="X248" t="str">
        <v>No</v>
      </c>
      <c r="Y248" t="str">
        <v>REVIEW hidden / seasonal</v>
      </c>
      <c r="Z248" t="str">
        <v/>
      </c>
      <c r="AA248" t="str">
        <v/>
      </c>
    </row>
    <row r="249">
      <c r="A249" t="str">
        <v>Camas Swale Farm</v>
      </c>
      <c r="B249" t="str">
        <v>Organic Vegetables - Roots 🧅🧄 🥕🥔</v>
      </c>
      <c r="C249">
        <v>981428</v>
      </c>
      <c r="D249" t="str">
        <v>Baby Red Onion</v>
      </c>
      <c r="E249">
        <v>749861</v>
      </c>
      <c r="F249" t="str">
        <v>bu</v>
      </c>
      <c r="G249" t="str">
        <v>No</v>
      </c>
      <c r="H249" s="2">
        <v>2.5</v>
      </c>
      <c r="J249" s="1">
        <v>0.45</v>
      </c>
      <c r="K249" s="1">
        <v>1</v>
      </c>
      <c r="L249" t="str">
        <v>Under 1 week / high loss</v>
      </c>
      <c r="M249" t="str">
        <v>Fresh or bunched roots/alliums with tender tops</v>
      </c>
      <c r="N249" s="2">
        <v>3.63</v>
      </c>
      <c r="O249" s="2">
        <v>5</v>
      </c>
      <c r="P249" s="2">
        <v>1.37</v>
      </c>
      <c r="Q249" s="1">
        <v>0.3774104683195594</v>
      </c>
      <c r="R249">
        <v>70</v>
      </c>
      <c r="S249" s="2">
        <v>290.5</v>
      </c>
      <c r="T249" s="2">
        <v>95.9</v>
      </c>
      <c r="U249" s="1">
        <v>0.45</v>
      </c>
      <c r="V249" t="str">
        <v>No</v>
      </c>
      <c r="W249" s="1">
        <v>0</v>
      </c>
      <c r="X249" t="str">
        <v>No</v>
      </c>
      <c r="Y249" t="str">
        <v>REVIEW hidden / seasonal</v>
      </c>
      <c r="Z249" t="str">
        <v/>
      </c>
      <c r="AA249" t="str">
        <v/>
      </c>
    </row>
    <row r="250">
      <c r="A250" t="str">
        <v>Grazier's Garden</v>
      </c>
      <c r="B250" t="str">
        <v>Organic Vegetables - Roots 🧅🧄 🥕🥔</v>
      </c>
      <c r="C250">
        <v>1012284</v>
      </c>
      <c r="D250" t="str">
        <v>Carrot (Baby) Bunch</v>
      </c>
      <c r="E250">
        <v>795617</v>
      </c>
      <c r="F250" t="str">
        <v>bu</v>
      </c>
      <c r="G250" t="str">
        <v>No</v>
      </c>
      <c r="H250" s="2">
        <v>2.7</v>
      </c>
      <c r="J250" s="1">
        <v>0.45</v>
      </c>
      <c r="K250" s="1">
        <v>1</v>
      </c>
      <c r="L250" t="str">
        <v>Under 1 week / high loss</v>
      </c>
      <c r="M250" t="str">
        <v>Fresh or bunched roots/alliums with tender tops</v>
      </c>
      <c r="N250" s="2">
        <v>3.92</v>
      </c>
      <c r="O250" s="2">
        <v>5.4</v>
      </c>
      <c r="P250" s="2">
        <v>1.48</v>
      </c>
      <c r="Q250" s="1">
        <v>0.37755102040816335</v>
      </c>
      <c r="R250">
        <v>0</v>
      </c>
      <c r="S250" s="2">
        <v>0</v>
      </c>
      <c r="T250" s="2">
        <v>0</v>
      </c>
      <c r="U250" s="1">
        <v>0.45</v>
      </c>
      <c r="V250" t="str">
        <v>No</v>
      </c>
      <c r="W250" s="1">
        <v>0</v>
      </c>
      <c r="X250" t="str">
        <v>No</v>
      </c>
      <c r="Y250" t="str">
        <v>REVIEW hidden / seasonal</v>
      </c>
      <c r="Z250" t="str">
        <v/>
      </c>
      <c r="AA250" t="str">
        <v/>
      </c>
    </row>
    <row r="251">
      <c r="A251" t="str">
        <v>(missing vendor)</v>
      </c>
      <c r="B251" t="str">
        <v>Organic Vegetables - Roots🧅🧄🥕🥔</v>
      </c>
      <c r="C251">
        <v>805839</v>
      </c>
      <c r="D251" t="str">
        <v>Sweet Potato “Seconds”</v>
      </c>
      <c r="E251">
        <v>526897</v>
      </c>
      <c r="F251" t="str">
        <v>1 lb</v>
      </c>
      <c r="G251" t="str">
        <v>No</v>
      </c>
      <c r="H251" s="2">
        <v>3.25</v>
      </c>
      <c r="K251" s="1">
        <v>0.45</v>
      </c>
      <c r="L251" t="str">
        <v>1 month+ / preserved</v>
      </c>
      <c r="M251" t="str">
        <v>Storage root or cured allium; confirm tops removed and correct storage</v>
      </c>
      <c r="O251" s="2">
        <v>4.71</v>
      </c>
      <c r="R251">
        <v>0</v>
      </c>
      <c r="S251" s="2">
        <v>0</v>
      </c>
      <c r="V251" t="str">
        <v>No</v>
      </c>
      <c r="W251" s="1">
        <v>0</v>
      </c>
      <c r="X251" t="str">
        <v>No</v>
      </c>
      <c r="Y251" t="str">
        <v>HOLD missing vendor</v>
      </c>
      <c r="Z251" t="str">
        <v/>
      </c>
      <c r="AA251" t="str">
        <v/>
      </c>
    </row>
    <row r="252">
      <c r="A252" t="str">
        <v>Camas Swale Farm</v>
      </c>
      <c r="B252" t="str">
        <v>Organic Vegetables - Roots🧅🧄🥕🥔</v>
      </c>
      <c r="C252">
        <v>911653</v>
      </c>
      <c r="D252" t="str">
        <v>Celeriac</v>
      </c>
      <c r="E252">
        <v>656880</v>
      </c>
      <c r="F252" t="str">
        <v>1 lb</v>
      </c>
      <c r="G252" t="str">
        <v>No</v>
      </c>
      <c r="H252" s="2">
        <v>1.8</v>
      </c>
      <c r="J252" s="1">
        <v>0.45</v>
      </c>
      <c r="K252" s="1">
        <v>0.45</v>
      </c>
      <c r="L252" t="str">
        <v>1 month+ / preserved</v>
      </c>
      <c r="M252" t="str">
        <v>Storage root or cured allium; confirm tops removed and correct storage</v>
      </c>
      <c r="N252" s="2">
        <v>2.61</v>
      </c>
      <c r="O252" s="2">
        <v>2.61</v>
      </c>
      <c r="P252" s="2">
        <v>0</v>
      </c>
      <c r="Q252" s="1">
        <v>0</v>
      </c>
      <c r="R252">
        <v>99</v>
      </c>
      <c r="S252" s="2">
        <v>244.08</v>
      </c>
      <c r="T252" s="2">
        <v>0</v>
      </c>
      <c r="U252" s="1">
        <v>0.45</v>
      </c>
      <c r="V252" t="str">
        <v>No</v>
      </c>
      <c r="W252" s="1">
        <v>0</v>
      </c>
      <c r="X252" t="str">
        <v>No</v>
      </c>
      <c r="Y252" t="str">
        <v>REVIEW hidden / seasonal</v>
      </c>
      <c r="Z252" t="str">
        <v/>
      </c>
      <c r="AA252" t="str">
        <v/>
      </c>
    </row>
    <row r="253">
      <c r="A253" t="str">
        <v>Camas Swale Farm</v>
      </c>
      <c r="B253" t="str">
        <v>Organic Vegetables - Roots🧅🧄🥕🥔</v>
      </c>
      <c r="C253">
        <v>883818</v>
      </c>
      <c r="D253" t="str">
        <v>Rainbow Carrots</v>
      </c>
      <c r="E253">
        <v>621070</v>
      </c>
      <c r="F253" t="str">
        <v>1 bunch</v>
      </c>
      <c r="G253" t="str">
        <v>No</v>
      </c>
      <c r="H253" s="2">
        <v>2.5</v>
      </c>
      <c r="J253" s="1">
        <v>0.45</v>
      </c>
      <c r="K253" s="1">
        <v>0.45</v>
      </c>
      <c r="L253" t="str">
        <v>1 month+ / preserved</v>
      </c>
      <c r="M253" t="str">
        <v>Storage root or cured allium; confirm tops removed and correct storage</v>
      </c>
      <c r="N253" s="2">
        <v>3.63</v>
      </c>
      <c r="O253" s="2">
        <v>3.63</v>
      </c>
      <c r="P253" s="2">
        <v>0</v>
      </c>
      <c r="Q253" s="1">
        <v>0</v>
      </c>
      <c r="R253">
        <v>88</v>
      </c>
      <c r="S253" s="2">
        <v>308</v>
      </c>
      <c r="T253" s="2">
        <v>0</v>
      </c>
      <c r="U253" s="1">
        <v>0.45</v>
      </c>
      <c r="V253" t="str">
        <v>No</v>
      </c>
      <c r="W253" s="1">
        <v>0</v>
      </c>
      <c r="X253" t="str">
        <v>No</v>
      </c>
      <c r="Y253" t="str">
        <v>REVIEW hidden / seasonal</v>
      </c>
      <c r="Z253" t="str">
        <v/>
      </c>
      <c r="AA253" t="str">
        <v/>
      </c>
    </row>
    <row r="254">
      <c r="A254" t="str">
        <v>Camas Swale Farm</v>
      </c>
      <c r="B254" t="str">
        <v>Organic Vegetables - Roots🧅🧄🥕🥔</v>
      </c>
      <c r="C254">
        <v>1005219</v>
      </c>
      <c r="D254" t="str">
        <v>Rainbow Carrots</v>
      </c>
      <c r="E254">
        <v>785523</v>
      </c>
      <c r="F254" t="str">
        <v>1 lb</v>
      </c>
      <c r="G254" t="str">
        <v>No</v>
      </c>
      <c r="H254" s="2">
        <v>1.5</v>
      </c>
      <c r="J254" s="1">
        <v>0.45</v>
      </c>
      <c r="K254" s="1">
        <v>0.45</v>
      </c>
      <c r="L254" t="str">
        <v>1 month+ / preserved</v>
      </c>
      <c r="M254" t="str">
        <v>Storage root or cured allium; confirm tops removed and correct storage</v>
      </c>
      <c r="N254" s="2">
        <v>2.17</v>
      </c>
      <c r="O254" s="2">
        <v>2.17</v>
      </c>
      <c r="P254" s="2">
        <v>0</v>
      </c>
      <c r="Q254" s="1">
        <v>0</v>
      </c>
      <c r="R254">
        <v>129</v>
      </c>
      <c r="S254" s="2">
        <v>271.12</v>
      </c>
      <c r="T254" s="2">
        <v>0</v>
      </c>
      <c r="U254" s="1">
        <v>0.45</v>
      </c>
      <c r="V254" t="str">
        <v>No</v>
      </c>
      <c r="W254" s="1">
        <v>0</v>
      </c>
      <c r="X254" t="str">
        <v>No</v>
      </c>
      <c r="Y254" t="str">
        <v>REVIEW hidden / seasonal</v>
      </c>
      <c r="Z254" t="str">
        <v/>
      </c>
      <c r="AA254" t="str">
        <v/>
      </c>
    </row>
    <row r="255">
      <c r="A255" t="str">
        <v>Camas Swale Farm</v>
      </c>
      <c r="B255" t="str">
        <v>Organic Vegetables - Roots🧅🧄🥕🥔</v>
      </c>
      <c r="C255">
        <v>1048411</v>
      </c>
      <c r="D255" t="str">
        <v>Shallots</v>
      </c>
      <c r="E255">
        <v>851691</v>
      </c>
      <c r="F255" t="str">
        <v>1 lb</v>
      </c>
      <c r="G255" t="str">
        <v>No</v>
      </c>
      <c r="H255" s="2">
        <v>3.5</v>
      </c>
      <c r="J255" s="1">
        <v>0.45</v>
      </c>
      <c r="K255" s="1">
        <v>0.45</v>
      </c>
      <c r="L255" t="str">
        <v>1 month+ / preserved</v>
      </c>
      <c r="M255" t="str">
        <v>Storage root or cured allium; confirm tops removed and correct storage</v>
      </c>
      <c r="N255" s="2">
        <v>5.08</v>
      </c>
      <c r="O255" s="2">
        <v>5.08</v>
      </c>
      <c r="P255" s="2">
        <v>0</v>
      </c>
      <c r="Q255" s="1">
        <v>0</v>
      </c>
      <c r="R255">
        <v>273</v>
      </c>
      <c r="S255" s="2">
        <v>1332.28</v>
      </c>
      <c r="T255" s="2">
        <v>0</v>
      </c>
      <c r="U255" s="1">
        <v>0.45</v>
      </c>
      <c r="V255" t="str">
        <v>No</v>
      </c>
      <c r="W255" s="1">
        <v>0</v>
      </c>
      <c r="X255" t="str">
        <v>No</v>
      </c>
      <c r="Y255" t="str">
        <v>REVIEW hidden / seasonal</v>
      </c>
      <c r="Z255" t="str">
        <v/>
      </c>
      <c r="AA255" t="str">
        <v/>
      </c>
    </row>
    <row r="256">
      <c r="A256" t="str">
        <v>Camas Swale Farm</v>
      </c>
      <c r="B256" t="str">
        <v>Organic Vegetables - Roots🧅🧄🥕🥔</v>
      </c>
      <c r="C256">
        <v>964205</v>
      </c>
      <c r="D256" t="str">
        <v>Tropea onion</v>
      </c>
      <c r="E256">
        <v>725640</v>
      </c>
      <c r="F256" t="str">
        <v>bu</v>
      </c>
      <c r="G256" t="str">
        <v>No</v>
      </c>
      <c r="H256" s="2">
        <v>2.35</v>
      </c>
      <c r="J256" s="1">
        <v>0.45</v>
      </c>
      <c r="K256" s="1">
        <v>0.45</v>
      </c>
      <c r="L256" t="str">
        <v>1 month+ / preserved</v>
      </c>
      <c r="M256" t="str">
        <v>Storage root or cured allium; confirm tops removed and correct storage</v>
      </c>
      <c r="N256" s="2">
        <v>3.41</v>
      </c>
      <c r="O256" s="2">
        <v>3.41</v>
      </c>
      <c r="P256" s="2">
        <v>0</v>
      </c>
      <c r="Q256" s="1">
        <v>0</v>
      </c>
      <c r="R256">
        <v>31</v>
      </c>
      <c r="S256" s="2">
        <v>101.99</v>
      </c>
      <c r="T256" s="2">
        <v>0</v>
      </c>
      <c r="U256" s="1">
        <v>0.45</v>
      </c>
      <c r="V256" t="str">
        <v>No</v>
      </c>
      <c r="W256" s="1">
        <v>0</v>
      </c>
      <c r="X256" t="str">
        <v>No</v>
      </c>
      <c r="Y256" t="str">
        <v>REVIEW hidden / seasonal</v>
      </c>
      <c r="Z256" t="str">
        <v/>
      </c>
      <c r="AA256" t="str">
        <v/>
      </c>
    </row>
    <row r="257">
      <c r="A257" t="str">
        <v>Full Farm CSA</v>
      </c>
      <c r="B257" t="str">
        <v>Organic Vegetables - Roots🧅🧄🥕🥔</v>
      </c>
      <c r="C257">
        <v>890649</v>
      </c>
      <c r="D257" t="str">
        <v>Chioggia Beets</v>
      </c>
      <c r="E257">
        <v>630138</v>
      </c>
      <c r="F257" t="str">
        <v>1 Lb</v>
      </c>
      <c r="G257" t="str">
        <v>No</v>
      </c>
      <c r="H257" s="2">
        <v>1</v>
      </c>
      <c r="J257" s="1">
        <v>0.45</v>
      </c>
      <c r="K257" s="1">
        <v>0.45</v>
      </c>
      <c r="L257" t="str">
        <v>1 month+ / preserved</v>
      </c>
      <c r="M257" t="str">
        <v>Storage root or cured allium; confirm tops removed and correct storage</v>
      </c>
      <c r="N257" s="2">
        <v>1.45</v>
      </c>
      <c r="O257" s="2">
        <v>1.45</v>
      </c>
      <c r="P257" s="2">
        <v>0</v>
      </c>
      <c r="Q257" s="1">
        <v>0</v>
      </c>
      <c r="R257">
        <v>0</v>
      </c>
      <c r="S257" s="2">
        <v>0</v>
      </c>
      <c r="T257" s="2">
        <v>0</v>
      </c>
      <c r="U257" s="1">
        <v>0.45</v>
      </c>
      <c r="V257" t="str">
        <v>No</v>
      </c>
      <c r="W257" s="1">
        <v>0</v>
      </c>
      <c r="X257" t="str">
        <v>No</v>
      </c>
      <c r="Y257" t="str">
        <v>REVIEW hidden / seasonal</v>
      </c>
      <c r="Z257" t="str">
        <v/>
      </c>
      <c r="AA257" t="str">
        <v/>
      </c>
    </row>
    <row r="258">
      <c r="A258" t="str">
        <v>Full Farm CSA</v>
      </c>
      <c r="B258" t="str">
        <v>Organic Vegetables - Roots🧅🧄🥕🥔</v>
      </c>
      <c r="C258">
        <v>899373</v>
      </c>
      <c r="D258" t="str">
        <v>Tropea onion</v>
      </c>
      <c r="E258">
        <v>641157</v>
      </c>
      <c r="F258" t="str">
        <v>lb</v>
      </c>
      <c r="G258" t="str">
        <v>No</v>
      </c>
      <c r="H258" s="2">
        <v>2.2</v>
      </c>
      <c r="J258" s="1">
        <v>0.45</v>
      </c>
      <c r="K258" s="1">
        <v>0.45</v>
      </c>
      <c r="L258" t="str">
        <v>1 month+ / preserved</v>
      </c>
      <c r="M258" t="str">
        <v>Storage root or cured allium; confirm tops removed and correct storage</v>
      </c>
      <c r="N258" s="2">
        <v>3.19</v>
      </c>
      <c r="O258" s="2">
        <v>3.19</v>
      </c>
      <c r="P258" s="2">
        <v>0</v>
      </c>
      <c r="Q258" s="1">
        <v>0</v>
      </c>
      <c r="R258">
        <v>29</v>
      </c>
      <c r="S258" s="2">
        <v>89.32</v>
      </c>
      <c r="T258" s="2">
        <v>0</v>
      </c>
      <c r="U258" s="1">
        <v>0.45</v>
      </c>
      <c r="V258" t="str">
        <v>No</v>
      </c>
      <c r="W258" s="1">
        <v>0</v>
      </c>
      <c r="X258" t="str">
        <v>No</v>
      </c>
      <c r="Y258" t="str">
        <v>REVIEW hidden / seasonal</v>
      </c>
      <c r="Z258" t="str">
        <v/>
      </c>
      <c r="AA258" t="str">
        <v/>
      </c>
    </row>
    <row r="259">
      <c r="A259" t="str">
        <v>Full Farm CSA</v>
      </c>
      <c r="B259" t="str">
        <v>Organic Vegetables - Roots🧅🧄🥕🥔</v>
      </c>
      <c r="C259">
        <v>806012</v>
      </c>
      <c r="D259" t="str">
        <v>Yacon Tuber</v>
      </c>
      <c r="E259">
        <v>527072</v>
      </c>
      <c r="F259" t="str">
        <v>1 lb</v>
      </c>
      <c r="G259" t="str">
        <v>No</v>
      </c>
      <c r="H259" s="2">
        <v>2.5</v>
      </c>
      <c r="J259" s="1">
        <v>0.45</v>
      </c>
      <c r="K259" s="1">
        <v>0.45</v>
      </c>
      <c r="L259" t="str">
        <v>1 month+ / preserved</v>
      </c>
      <c r="M259" t="str">
        <v>Storage root or cured allium; confirm tops removed and correct storage</v>
      </c>
      <c r="N259" s="2">
        <v>3.63</v>
      </c>
      <c r="O259" s="2">
        <v>3.63</v>
      </c>
      <c r="P259" s="2">
        <v>0</v>
      </c>
      <c r="Q259" s="1">
        <v>0</v>
      </c>
      <c r="R259">
        <v>0</v>
      </c>
      <c r="S259" s="2">
        <v>0</v>
      </c>
      <c r="T259" s="2">
        <v>0</v>
      </c>
      <c r="U259" s="1">
        <v>0.45</v>
      </c>
      <c r="V259" t="str">
        <v>No</v>
      </c>
      <c r="W259" s="1">
        <v>0</v>
      </c>
      <c r="X259" t="str">
        <v>No</v>
      </c>
      <c r="Y259" t="str">
        <v>REVIEW hidden / seasonal</v>
      </c>
      <c r="Z259" t="str">
        <v/>
      </c>
      <c r="AA259" t="str">
        <v/>
      </c>
    </row>
    <row r="260">
      <c r="A260" t="str">
        <v>Grazier's Garden</v>
      </c>
      <c r="B260" t="str">
        <v>Organic Vegetables - Roots🧅🧄🥕🥔</v>
      </c>
      <c r="C260">
        <v>1017975</v>
      </c>
      <c r="D260" t="str">
        <v>Bulk Carrots</v>
      </c>
      <c r="E260">
        <v>803425</v>
      </c>
      <c r="F260" t="str">
        <v>pound</v>
      </c>
      <c r="G260" t="str">
        <v>No</v>
      </c>
      <c r="H260" s="2">
        <v>2.2</v>
      </c>
      <c r="J260" s="1">
        <v>0.45</v>
      </c>
      <c r="K260" s="1">
        <v>0.45</v>
      </c>
      <c r="L260" t="str">
        <v>1 month+ / preserved</v>
      </c>
      <c r="M260" t="str">
        <v>Storage root or cured allium; confirm tops removed and correct storage</v>
      </c>
      <c r="N260" s="2">
        <v>3.19</v>
      </c>
      <c r="O260" s="2">
        <v>3.19</v>
      </c>
      <c r="P260" s="2">
        <v>0</v>
      </c>
      <c r="Q260" s="1">
        <v>0</v>
      </c>
      <c r="R260">
        <v>116</v>
      </c>
      <c r="S260" s="2">
        <v>359.92</v>
      </c>
      <c r="T260" s="2">
        <v>0</v>
      </c>
      <c r="U260" s="1">
        <v>0.45</v>
      </c>
      <c r="V260" t="str">
        <v>No</v>
      </c>
      <c r="W260" s="1">
        <v>0</v>
      </c>
      <c r="X260" t="str">
        <v>No</v>
      </c>
      <c r="Y260" t="str">
        <v>REVIEW hidden / seasonal</v>
      </c>
      <c r="Z260" t="str">
        <v/>
      </c>
      <c r="AA260" t="str">
        <v/>
      </c>
    </row>
    <row r="261">
      <c r="A261" t="str">
        <v>Grazier's Garden</v>
      </c>
      <c r="B261" t="str">
        <v>Organic Vegetables - Roots🧅🧄🥕🥔</v>
      </c>
      <c r="C261">
        <v>1004361</v>
      </c>
      <c r="D261" t="str">
        <v>Bulk Red Beets - 5lb. bag</v>
      </c>
      <c r="E261">
        <v>784289</v>
      </c>
      <c r="F261" t="str">
        <v>5lb. bag</v>
      </c>
      <c r="G261" t="str">
        <v>No</v>
      </c>
      <c r="H261" s="2">
        <v>6.45</v>
      </c>
      <c r="J261" s="1">
        <v>0.45</v>
      </c>
      <c r="K261" s="1">
        <v>0.45</v>
      </c>
      <c r="L261" t="str">
        <v>1 month+ / preserved</v>
      </c>
      <c r="M261" t="str">
        <v>Storage root or cured allium; confirm tops removed and correct storage</v>
      </c>
      <c r="N261" s="2">
        <v>9.35</v>
      </c>
      <c r="O261" s="2">
        <v>9.35</v>
      </c>
      <c r="P261" s="2">
        <v>0</v>
      </c>
      <c r="Q261" s="1">
        <v>0</v>
      </c>
      <c r="R261">
        <v>0</v>
      </c>
      <c r="S261" s="2">
        <v>0</v>
      </c>
      <c r="T261" s="2">
        <v>0</v>
      </c>
      <c r="U261" s="1">
        <v>0.45</v>
      </c>
      <c r="V261" t="str">
        <v>No</v>
      </c>
      <c r="W261" s="1">
        <v>0</v>
      </c>
      <c r="X261" t="str">
        <v>No</v>
      </c>
      <c r="Y261" t="str">
        <v>REVIEW hidden / seasonal</v>
      </c>
      <c r="Z261" t="str">
        <v/>
      </c>
      <c r="AA261" t="str">
        <v/>
      </c>
    </row>
    <row r="262">
      <c r="A262" t="str">
        <v>Grazier's Garden</v>
      </c>
      <c r="B262" t="str">
        <v>Organic Vegetables - Roots🧅🧄🥕🥔</v>
      </c>
      <c r="C262">
        <v>805951</v>
      </c>
      <c r="D262" t="str">
        <v>Purple Onion</v>
      </c>
      <c r="E262">
        <v>527011</v>
      </c>
      <c r="F262" t="str">
        <v>each</v>
      </c>
      <c r="G262" t="str">
        <v>No</v>
      </c>
      <c r="H262" s="2">
        <v>4.75</v>
      </c>
      <c r="J262" s="1">
        <v>0.45</v>
      </c>
      <c r="K262" s="1">
        <v>0.45</v>
      </c>
      <c r="L262" t="str">
        <v>1 month+ / preserved</v>
      </c>
      <c r="M262" t="str">
        <v>Storage root or cured allium; confirm tops removed and correct storage</v>
      </c>
      <c r="N262" s="2">
        <v>6.89</v>
      </c>
      <c r="O262" s="2">
        <v>6.89</v>
      </c>
      <c r="P262" s="2">
        <v>0</v>
      </c>
      <c r="Q262" s="1">
        <v>0</v>
      </c>
      <c r="R262">
        <v>0</v>
      </c>
      <c r="S262" s="2">
        <v>0</v>
      </c>
      <c r="T262" s="2">
        <v>0</v>
      </c>
      <c r="U262" s="1">
        <v>0.45</v>
      </c>
      <c r="V262" t="str">
        <v>No</v>
      </c>
      <c r="W262" s="1">
        <v>0</v>
      </c>
      <c r="X262" t="str">
        <v>No</v>
      </c>
      <c r="Y262" t="str">
        <v>REVIEW hidden / seasonal</v>
      </c>
      <c r="Z262" t="str">
        <v/>
      </c>
      <c r="AA262" t="str">
        <v/>
      </c>
    </row>
    <row r="263">
      <c r="A263" t="str">
        <v>Grazier's Garden</v>
      </c>
      <c r="B263" t="str">
        <v>Organic Vegetables - Roots🧅🧄🥕🥔</v>
      </c>
      <c r="C263">
        <v>812624</v>
      </c>
      <c r="D263" t="str">
        <v>Spanish Onion</v>
      </c>
      <c r="E263">
        <v>534492</v>
      </c>
      <c r="F263" t="str">
        <v>pound</v>
      </c>
      <c r="G263" t="str">
        <v>No</v>
      </c>
      <c r="H263" s="2">
        <v>3.75</v>
      </c>
      <c r="J263" s="1">
        <v>0.45</v>
      </c>
      <c r="K263" s="1">
        <v>0.45</v>
      </c>
      <c r="L263" t="str">
        <v>1 month+ / preserved</v>
      </c>
      <c r="M263" t="str">
        <v>Storage root or cured allium; confirm tops removed and correct storage</v>
      </c>
      <c r="N263" s="2">
        <v>5.44</v>
      </c>
      <c r="O263" s="2">
        <v>5.44</v>
      </c>
      <c r="P263" s="2">
        <v>0</v>
      </c>
      <c r="Q263" s="1">
        <v>0</v>
      </c>
      <c r="R263">
        <v>0</v>
      </c>
      <c r="S263" s="2">
        <v>0</v>
      </c>
      <c r="T263" s="2">
        <v>0</v>
      </c>
      <c r="U263" s="1">
        <v>0.45</v>
      </c>
      <c r="V263" t="str">
        <v>No</v>
      </c>
      <c r="W263" s="1">
        <v>0</v>
      </c>
      <c r="X263" t="str">
        <v>No</v>
      </c>
      <c r="Y263" t="str">
        <v>REVIEW hidden / seasonal</v>
      </c>
      <c r="Z263" t="str">
        <v/>
      </c>
      <c r="AA263" t="str">
        <v/>
      </c>
    </row>
    <row r="264">
      <c r="A264" t="str">
        <v>Little Wings</v>
      </c>
      <c r="B264" t="str">
        <v>Organic Vegetables - Roots🧅🧄🥕🥔</v>
      </c>
      <c r="C264">
        <v>805903</v>
      </c>
      <c r="D264" t="str">
        <v>Banana Shallots</v>
      </c>
      <c r="E264">
        <v>526961</v>
      </c>
      <c r="F264" t="str">
        <v>1 lb</v>
      </c>
      <c r="G264" t="str">
        <v>Yes</v>
      </c>
      <c r="H264" s="2">
        <v>3.5</v>
      </c>
      <c r="J264" s="1">
        <v>0.45</v>
      </c>
      <c r="K264" s="1">
        <v>0.45</v>
      </c>
      <c r="L264" t="str">
        <v>1 month+ / preserved</v>
      </c>
      <c r="M264" t="str">
        <v>Storage root or cured allium; confirm tops removed and correct storage</v>
      </c>
      <c r="N264" s="2">
        <v>5.08</v>
      </c>
      <c r="O264" s="2">
        <v>5.08</v>
      </c>
      <c r="P264" s="2">
        <v>0</v>
      </c>
      <c r="Q264" s="1">
        <v>0</v>
      </c>
      <c r="R264">
        <v>11</v>
      </c>
      <c r="S264" s="2">
        <v>53.9</v>
      </c>
      <c r="T264" s="2">
        <v>0</v>
      </c>
      <c r="U264" s="1">
        <v>0.45</v>
      </c>
      <c r="V264" t="str">
        <v>No</v>
      </c>
      <c r="W264" s="1">
        <v>0</v>
      </c>
      <c r="X264" t="str">
        <v>No</v>
      </c>
      <c r="Y264" t="str">
        <v>Candidate</v>
      </c>
      <c r="Z264" t="str">
        <v/>
      </c>
      <c r="AA264" t="str">
        <v/>
      </c>
    </row>
    <row r="265">
      <c r="A265" t="str">
        <v>Organically Grown Company</v>
      </c>
      <c r="B265" t="str">
        <v>Organic Vegetables - Roots🧅🧄🥕🥔</v>
      </c>
      <c r="C265">
        <v>881653</v>
      </c>
      <c r="D265" t="str">
        <v>Nantes Carrots</v>
      </c>
      <c r="E265">
        <v>618132</v>
      </c>
      <c r="F265" t="str">
        <v>bunch</v>
      </c>
      <c r="G265" t="str">
        <v>No</v>
      </c>
      <c r="H265" s="2">
        <v>2.53</v>
      </c>
      <c r="J265" s="1">
        <v>0.45</v>
      </c>
      <c r="K265" s="1">
        <v>0.45</v>
      </c>
      <c r="L265" t="str">
        <v>1 month+ / preserved</v>
      </c>
      <c r="M265" t="str">
        <v>Storage root or cured allium; confirm tops removed and correct storage</v>
      </c>
      <c r="N265" s="2">
        <v>3.67</v>
      </c>
      <c r="O265" s="2">
        <v>3.67</v>
      </c>
      <c r="P265" s="2">
        <v>0</v>
      </c>
      <c r="Q265" s="1">
        <v>0</v>
      </c>
      <c r="R265">
        <v>216</v>
      </c>
      <c r="S265" s="2">
        <v>764.64</v>
      </c>
      <c r="T265" s="2">
        <v>0</v>
      </c>
      <c r="U265" s="1">
        <v>0.45</v>
      </c>
      <c r="V265" t="str">
        <v>No</v>
      </c>
      <c r="W265" s="1">
        <v>0</v>
      </c>
      <c r="X265" t="str">
        <v>No</v>
      </c>
      <c r="Y265" t="str">
        <v>REVIEW hidden / seasonal</v>
      </c>
      <c r="Z265" t="str">
        <v/>
      </c>
      <c r="AA265" t="str">
        <v/>
      </c>
    </row>
    <row r="266">
      <c r="A266" t="str">
        <v>Organically Grown Company</v>
      </c>
      <c r="B266" t="str">
        <v>Organic Vegetables - Roots🧅🧄🥕🥔</v>
      </c>
      <c r="C266">
        <v>805900</v>
      </c>
      <c r="D266" t="str">
        <v>Parsnips</v>
      </c>
      <c r="E266">
        <v>526958</v>
      </c>
      <c r="F266" t="str">
        <v>1 lb</v>
      </c>
      <c r="G266" t="str">
        <v>No</v>
      </c>
      <c r="H266" s="2">
        <v>2.5</v>
      </c>
      <c r="J266" s="1">
        <v>0.45</v>
      </c>
      <c r="K266" s="1">
        <v>0.45</v>
      </c>
      <c r="L266" t="str">
        <v>1 month+ / preserved</v>
      </c>
      <c r="M266" t="str">
        <v>Storage root or cured allium; confirm tops removed and correct storage</v>
      </c>
      <c r="N266" s="2">
        <v>3.63</v>
      </c>
      <c r="O266" s="2">
        <v>3.63</v>
      </c>
      <c r="P266" s="2">
        <v>0</v>
      </c>
      <c r="Q266" s="1">
        <v>0</v>
      </c>
      <c r="R266">
        <v>233</v>
      </c>
      <c r="S266" s="2">
        <v>817.4</v>
      </c>
      <c r="T266" s="2">
        <v>0</v>
      </c>
      <c r="U266" s="1">
        <v>0.45</v>
      </c>
      <c r="V266" t="str">
        <v>No</v>
      </c>
      <c r="W266" s="1">
        <v>0</v>
      </c>
      <c r="X266" t="str">
        <v>No</v>
      </c>
      <c r="Y266" t="str">
        <v>REVIEW hidden / seasonal</v>
      </c>
      <c r="Z266" t="str">
        <v/>
      </c>
      <c r="AA266" t="str">
        <v/>
      </c>
    </row>
    <row r="267">
      <c r="A267" t="str">
        <v>Organically Grown Company</v>
      </c>
      <c r="B267" t="str">
        <v>Organic Vegetables - Roots🧅🧄🥕🥔</v>
      </c>
      <c r="C267">
        <v>824480</v>
      </c>
      <c r="D267" t="str">
        <v>Purple potatoes</v>
      </c>
      <c r="E267">
        <v>548053</v>
      </c>
      <c r="F267" t="str">
        <v>pound</v>
      </c>
      <c r="G267" t="str">
        <v>No</v>
      </c>
      <c r="H267" s="2">
        <v>1.04</v>
      </c>
      <c r="J267" s="1">
        <v>0.45</v>
      </c>
      <c r="K267" s="1">
        <v>0.45</v>
      </c>
      <c r="L267" t="str">
        <v>1 month+ / preserved</v>
      </c>
      <c r="M267" t="str">
        <v>Storage root or cured allium; confirm tops removed and correct storage</v>
      </c>
      <c r="N267" s="2">
        <v>1.51</v>
      </c>
      <c r="O267" s="2">
        <v>1.51</v>
      </c>
      <c r="P267" s="2">
        <v>0</v>
      </c>
      <c r="Q267" s="1">
        <v>0</v>
      </c>
      <c r="R267">
        <v>0</v>
      </c>
      <c r="S267" s="2">
        <v>0</v>
      </c>
      <c r="T267" s="2">
        <v>0</v>
      </c>
      <c r="U267" s="1">
        <v>0.45</v>
      </c>
      <c r="V267" t="str">
        <v>No</v>
      </c>
      <c r="W267" s="1">
        <v>0</v>
      </c>
      <c r="X267" t="str">
        <v>No</v>
      </c>
      <c r="Y267" t="str">
        <v>REVIEW hidden / seasonal</v>
      </c>
      <c r="Z267" t="str">
        <v/>
      </c>
      <c r="AA267" t="str">
        <v/>
      </c>
    </row>
    <row r="268">
      <c r="A268" t="str">
        <v>Organically Grown Company</v>
      </c>
      <c r="B268" t="str">
        <v>Organic Vegetables - Roots🧅🧄🥕🥔</v>
      </c>
      <c r="C268">
        <v>812626</v>
      </c>
      <c r="D268" t="str">
        <v>Red Potatoes (Idaho)</v>
      </c>
      <c r="E268">
        <v>534494</v>
      </c>
      <c r="F268" t="str">
        <v>1 lb</v>
      </c>
      <c r="G268" t="str">
        <v>No</v>
      </c>
      <c r="H268" s="2">
        <v>1</v>
      </c>
      <c r="J268" s="1">
        <v>0.45</v>
      </c>
      <c r="K268" s="1">
        <v>0.45</v>
      </c>
      <c r="L268" t="str">
        <v>1 month+ / preserved</v>
      </c>
      <c r="M268" t="str">
        <v>Storage root or cured allium; confirm tops removed and correct storage</v>
      </c>
      <c r="N268" s="2">
        <v>1.45</v>
      </c>
      <c r="O268" s="2">
        <v>1.45</v>
      </c>
      <c r="P268" s="2">
        <v>0</v>
      </c>
      <c r="Q268" s="1">
        <v>0</v>
      </c>
      <c r="R268">
        <v>915</v>
      </c>
      <c r="S268" s="2">
        <v>1282.65</v>
      </c>
      <c r="T268" s="2">
        <v>0</v>
      </c>
      <c r="U268" s="1">
        <v>0.45</v>
      </c>
      <c r="V268" t="str">
        <v>No</v>
      </c>
      <c r="W268" s="1">
        <v>0</v>
      </c>
      <c r="X268" t="str">
        <v>No</v>
      </c>
      <c r="Y268" t="str">
        <v>REVIEW hidden / seasonal</v>
      </c>
      <c r="Z268" t="str">
        <v/>
      </c>
      <c r="AA268" t="str">
        <v/>
      </c>
    </row>
    <row r="269">
      <c r="A269" t="str">
        <v>Organically Grown Company</v>
      </c>
      <c r="B269" t="str">
        <v>Organic Vegetables - Roots🧅🧄🥕🥔</v>
      </c>
      <c r="C269">
        <v>824478</v>
      </c>
      <c r="D269" t="str">
        <v>Russet potatoes (CA)</v>
      </c>
      <c r="E269">
        <v>548051</v>
      </c>
      <c r="F269" t="str">
        <v>1 lb</v>
      </c>
      <c r="G269" t="str">
        <v>No</v>
      </c>
      <c r="H269" s="2">
        <v>1</v>
      </c>
      <c r="J269" s="1">
        <v>0.45</v>
      </c>
      <c r="K269" s="1">
        <v>0.45</v>
      </c>
      <c r="L269" t="str">
        <v>1 month+ / preserved</v>
      </c>
      <c r="M269" t="str">
        <v>Storage root or cured allium; confirm tops removed and correct storage</v>
      </c>
      <c r="N269" s="2">
        <v>1.45</v>
      </c>
      <c r="O269" s="2">
        <v>1.45</v>
      </c>
      <c r="P269" s="2">
        <v>0</v>
      </c>
      <c r="Q269" s="1">
        <v>0</v>
      </c>
      <c r="R269">
        <v>732</v>
      </c>
      <c r="S269" s="2">
        <v>1025.55</v>
      </c>
      <c r="T269" s="2">
        <v>0</v>
      </c>
      <c r="U269" s="1">
        <v>0.45</v>
      </c>
      <c r="V269" t="str">
        <v>No</v>
      </c>
      <c r="W269" s="1">
        <v>0</v>
      </c>
      <c r="X269" t="str">
        <v>No</v>
      </c>
      <c r="Y269" t="str">
        <v>REVIEW hidden / seasonal</v>
      </c>
      <c r="Z269" t="str">
        <v/>
      </c>
      <c r="AA269" t="str">
        <v/>
      </c>
    </row>
    <row r="270">
      <c r="A270" t="str">
        <v>Organically Grown Company</v>
      </c>
      <c r="B270" t="str">
        <v>Organic Vegetables - Roots🧅🧄🥕🥔</v>
      </c>
      <c r="C270">
        <v>805816</v>
      </c>
      <c r="D270" t="str">
        <v>Rutabega</v>
      </c>
      <c r="E270">
        <v>526873</v>
      </c>
      <c r="F270" t="str">
        <v>1 lb</v>
      </c>
      <c r="G270" t="str">
        <v>No</v>
      </c>
      <c r="H270" s="2">
        <v>1.9</v>
      </c>
      <c r="J270" s="1">
        <v>0.45</v>
      </c>
      <c r="K270" s="1">
        <v>0.45</v>
      </c>
      <c r="L270" t="str">
        <v>1 month+ / preserved</v>
      </c>
      <c r="M270" t="str">
        <v>Storage root or cured allium; confirm tops removed and correct storage</v>
      </c>
      <c r="N270" s="2">
        <v>2.75</v>
      </c>
      <c r="O270" s="2">
        <v>2.75</v>
      </c>
      <c r="P270" s="2">
        <v>0</v>
      </c>
      <c r="Q270" s="1">
        <v>0</v>
      </c>
      <c r="R270">
        <v>0</v>
      </c>
      <c r="S270" s="2">
        <v>0</v>
      </c>
      <c r="T270" s="2">
        <v>0</v>
      </c>
      <c r="U270" s="1">
        <v>0.45</v>
      </c>
      <c r="V270" t="str">
        <v>No</v>
      </c>
      <c r="W270" s="1">
        <v>0</v>
      </c>
      <c r="X270" t="str">
        <v>No</v>
      </c>
      <c r="Y270" t="str">
        <v>REVIEW hidden / seasonal</v>
      </c>
      <c r="Z270" t="str">
        <v/>
      </c>
      <c r="AA270" t="str">
        <v/>
      </c>
    </row>
    <row r="271">
      <c r="A271" t="str">
        <v>Organically Grown Company</v>
      </c>
      <c r="B271" t="str">
        <v>Organic Vegetables - Roots🧅🧄🥕🥔</v>
      </c>
      <c r="C271">
        <v>805938</v>
      </c>
      <c r="D271" t="str">
        <v>Sunchokes</v>
      </c>
      <c r="E271">
        <v>526998</v>
      </c>
      <c r="F271" t="str">
        <v>1 lb</v>
      </c>
      <c r="G271" t="str">
        <v>No</v>
      </c>
      <c r="H271" s="2">
        <v>4.1</v>
      </c>
      <c r="J271" s="1">
        <v>0.45</v>
      </c>
      <c r="K271" s="1">
        <v>0.45</v>
      </c>
      <c r="L271" t="str">
        <v>1 month+ / preserved</v>
      </c>
      <c r="M271" t="str">
        <v>Storage root or cured allium; confirm tops removed and correct storage</v>
      </c>
      <c r="N271" s="2">
        <v>5.94</v>
      </c>
      <c r="O271" s="2">
        <v>5.94</v>
      </c>
      <c r="P271" s="2">
        <v>0</v>
      </c>
      <c r="Q271" s="1">
        <v>0</v>
      </c>
      <c r="R271">
        <v>56</v>
      </c>
      <c r="S271" s="2">
        <v>322.06</v>
      </c>
      <c r="T271" s="2">
        <v>0</v>
      </c>
      <c r="U271" s="1">
        <v>0.45</v>
      </c>
      <c r="V271" t="str">
        <v>No</v>
      </c>
      <c r="W271" s="1">
        <v>0</v>
      </c>
      <c r="X271" t="str">
        <v>No</v>
      </c>
      <c r="Y271" t="str">
        <v>REVIEW hidden / seasonal</v>
      </c>
      <c r="Z271" t="str">
        <v/>
      </c>
      <c r="AA271" t="str">
        <v/>
      </c>
    </row>
    <row r="272">
      <c r="A272" t="str">
        <v>Red Tail Growers</v>
      </c>
      <c r="B272" t="str">
        <v>Organic Vegetables - Roots🧅🧄🥕🥔</v>
      </c>
      <c r="C272">
        <v>1016432</v>
      </c>
      <c r="D272" t="str">
        <v>#2 Juicing Carrots</v>
      </c>
      <c r="E272">
        <v>801261</v>
      </c>
      <c r="F272" t="str">
        <v>pound</v>
      </c>
      <c r="G272" t="str">
        <v>Yes</v>
      </c>
      <c r="H272" s="2">
        <v>1</v>
      </c>
      <c r="J272" s="1">
        <v>0.45</v>
      </c>
      <c r="K272" s="1">
        <v>0.45</v>
      </c>
      <c r="L272" t="str">
        <v>1 month+ / preserved</v>
      </c>
      <c r="M272" t="str">
        <v>Storage root or cured allium; confirm tops removed and correct storage</v>
      </c>
      <c r="N272" s="2">
        <v>1.45</v>
      </c>
      <c r="O272" s="2">
        <v>1.45</v>
      </c>
      <c r="P272" s="2">
        <v>0</v>
      </c>
      <c r="Q272" s="1">
        <v>0</v>
      </c>
      <c r="R272">
        <v>128</v>
      </c>
      <c r="S272" s="2">
        <v>235.2</v>
      </c>
      <c r="T272" s="2">
        <v>0</v>
      </c>
      <c r="U272" s="1">
        <v>0.45</v>
      </c>
      <c r="V272" t="str">
        <v>No</v>
      </c>
      <c r="W272" s="1">
        <v>0</v>
      </c>
      <c r="X272" t="str">
        <v>No</v>
      </c>
      <c r="Y272" t="str">
        <v>Candidate</v>
      </c>
      <c r="Z272" t="str">
        <v/>
      </c>
      <c r="AA272" t="str">
        <v/>
      </c>
    </row>
    <row r="273">
      <c r="A273" t="str">
        <v>Red Tail Growers</v>
      </c>
      <c r="B273" t="str">
        <v>Organic Vegetables - Roots🧅🧄🥕🥔</v>
      </c>
      <c r="C273">
        <v>901489</v>
      </c>
      <c r="D273" t="str">
        <v>Ambition Shallots</v>
      </c>
      <c r="E273">
        <v>643775</v>
      </c>
      <c r="F273" t="str">
        <v>1 lb</v>
      </c>
      <c r="G273" t="str">
        <v>No</v>
      </c>
      <c r="H273" s="2">
        <v>3.5</v>
      </c>
      <c r="J273" s="1">
        <v>0.45</v>
      </c>
      <c r="K273" s="1">
        <v>0.45</v>
      </c>
      <c r="L273" t="str">
        <v>1 month+ / preserved</v>
      </c>
      <c r="M273" t="str">
        <v>Storage root or cured allium; confirm tops removed and correct storage</v>
      </c>
      <c r="N273" s="2">
        <v>5.08</v>
      </c>
      <c r="O273" s="2">
        <v>5.08</v>
      </c>
      <c r="P273" s="2">
        <v>0</v>
      </c>
      <c r="Q273" s="1">
        <v>0</v>
      </c>
      <c r="R273">
        <v>0</v>
      </c>
      <c r="S273" s="2">
        <v>0</v>
      </c>
      <c r="T273" s="2">
        <v>0</v>
      </c>
      <c r="U273" s="1">
        <v>0.45</v>
      </c>
      <c r="V273" t="str">
        <v>No</v>
      </c>
      <c r="W273" s="1">
        <v>0</v>
      </c>
      <c r="X273" t="str">
        <v>No</v>
      </c>
      <c r="Y273" t="str">
        <v>REVIEW hidden / seasonal</v>
      </c>
      <c r="Z273" t="str">
        <v/>
      </c>
      <c r="AA273" t="str">
        <v/>
      </c>
    </row>
    <row r="274">
      <c r="A274" t="str">
        <v>Red Tail Growers</v>
      </c>
      <c r="B274" t="str">
        <v>Organic Vegetables - Roots🧅🧄🥕🥔</v>
      </c>
      <c r="C274">
        <v>988809</v>
      </c>
      <c r="D274" t="str">
        <v>Chioggia Beets</v>
      </c>
      <c r="E274">
        <v>760367</v>
      </c>
      <c r="F274" t="str">
        <v>1 Bunch</v>
      </c>
      <c r="G274" t="str">
        <v>No</v>
      </c>
      <c r="H274" s="2">
        <v>2.35</v>
      </c>
      <c r="J274" s="1">
        <v>0.45</v>
      </c>
      <c r="K274" s="1">
        <v>0.45</v>
      </c>
      <c r="L274" t="str">
        <v>1 month+ / preserved</v>
      </c>
      <c r="M274" t="str">
        <v>Storage root or cured allium; confirm tops removed and correct storage</v>
      </c>
      <c r="N274" s="2">
        <v>3.41</v>
      </c>
      <c r="O274" s="2">
        <v>3.41</v>
      </c>
      <c r="P274" s="2">
        <v>0</v>
      </c>
      <c r="Q274" s="1">
        <v>0</v>
      </c>
      <c r="R274">
        <v>76</v>
      </c>
      <c r="S274" s="2">
        <v>284.76</v>
      </c>
      <c r="T274" s="2">
        <v>0</v>
      </c>
      <c r="U274" s="1">
        <v>0.45</v>
      </c>
      <c r="V274" t="str">
        <v>No</v>
      </c>
      <c r="W274" s="1">
        <v>0</v>
      </c>
      <c r="X274" t="str">
        <v>No</v>
      </c>
      <c r="Y274" t="str">
        <v>REVIEW hidden / seasonal</v>
      </c>
      <c r="Z274" t="str">
        <v/>
      </c>
      <c r="AA274" t="str">
        <v/>
      </c>
    </row>
    <row r="275">
      <c r="A275" t="str">
        <v>Red Tail Growers</v>
      </c>
      <c r="B275" t="str">
        <v>Organic Vegetables - Roots🧅🧄🥕🥔</v>
      </c>
      <c r="C275">
        <v>928530</v>
      </c>
      <c r="D275" t="str">
        <v>Gold Beets</v>
      </c>
      <c r="E275">
        <v>676674</v>
      </c>
      <c r="F275" t="str">
        <v>lb</v>
      </c>
      <c r="G275" t="str">
        <v>No</v>
      </c>
      <c r="H275" s="2">
        <v>1.6</v>
      </c>
      <c r="J275" s="1">
        <v>0.45</v>
      </c>
      <c r="K275" s="1">
        <v>0.45</v>
      </c>
      <c r="L275" t="str">
        <v>1 month+ / preserved</v>
      </c>
      <c r="M275" t="str">
        <v>Storage root or cured allium; confirm tops removed and correct storage</v>
      </c>
      <c r="N275" s="2">
        <v>2.32</v>
      </c>
      <c r="O275" s="2">
        <v>2.32</v>
      </c>
      <c r="P275" s="2">
        <v>0</v>
      </c>
      <c r="Q275" s="1">
        <v>0</v>
      </c>
      <c r="R275">
        <v>318</v>
      </c>
      <c r="S275" s="2">
        <v>791.76</v>
      </c>
      <c r="T275" s="2">
        <v>0</v>
      </c>
      <c r="U275" s="1">
        <v>0.45</v>
      </c>
      <c r="V275" t="str">
        <v>No</v>
      </c>
      <c r="W275" s="1">
        <v>0</v>
      </c>
      <c r="X275" t="str">
        <v>No</v>
      </c>
      <c r="Y275" t="str">
        <v>REVIEW hidden / seasonal</v>
      </c>
      <c r="Z275" t="str">
        <v/>
      </c>
      <c r="AA275" t="str">
        <v/>
      </c>
    </row>
    <row r="276">
      <c r="A276" t="str">
        <v>Red Tail Growers</v>
      </c>
      <c r="B276" t="str">
        <v>Organic Vegetables - Roots🧅🧄🥕🥔</v>
      </c>
      <c r="C276">
        <v>874966</v>
      </c>
      <c r="D276" t="str">
        <v>Red Beets</v>
      </c>
      <c r="E276">
        <v>609201</v>
      </c>
      <c r="F276" t="str">
        <v>1 bunch</v>
      </c>
      <c r="G276" t="str">
        <v>Yes</v>
      </c>
      <c r="H276" s="2">
        <v>2.35</v>
      </c>
      <c r="J276" s="1">
        <v>0.45</v>
      </c>
      <c r="K276" s="1">
        <v>0.45</v>
      </c>
      <c r="L276" t="str">
        <v>1 month+ / preserved</v>
      </c>
      <c r="M276" t="str">
        <v>Storage root or cured allium; confirm tops removed and correct storage</v>
      </c>
      <c r="N276" s="2">
        <v>3.41</v>
      </c>
      <c r="O276" s="2">
        <v>3.41</v>
      </c>
      <c r="P276" s="2">
        <v>0</v>
      </c>
      <c r="Q276" s="1">
        <v>0</v>
      </c>
      <c r="R276">
        <v>84</v>
      </c>
      <c r="S276" s="2">
        <v>324.59</v>
      </c>
      <c r="T276" s="2">
        <v>0</v>
      </c>
      <c r="U276" s="1">
        <v>0.45</v>
      </c>
      <c r="V276" t="str">
        <v>No</v>
      </c>
      <c r="W276" s="1">
        <v>0</v>
      </c>
      <c r="X276" t="str">
        <v>No</v>
      </c>
      <c r="Y276" t="str">
        <v>Candidate</v>
      </c>
      <c r="Z276" t="str">
        <v/>
      </c>
      <c r="AA276" t="str">
        <v/>
      </c>
    </row>
    <row r="277">
      <c r="A277" t="str">
        <v>Red Tail Growers</v>
      </c>
      <c r="B277" t="str">
        <v>Organic Vegetables - Roots🧅🧄🥕🥔</v>
      </c>
      <c r="C277">
        <v>1038287</v>
      </c>
      <c r="D277" t="str">
        <v>Red Beets</v>
      </c>
      <c r="E277">
        <v>836559</v>
      </c>
      <c r="F277" t="str">
        <v>1 lb</v>
      </c>
      <c r="G277" t="str">
        <v>No</v>
      </c>
      <c r="H277" s="2">
        <v>1.36</v>
      </c>
      <c r="J277" s="1">
        <v>0.45</v>
      </c>
      <c r="K277" s="1">
        <v>0.45</v>
      </c>
      <c r="L277" t="str">
        <v>1 month+ / preserved</v>
      </c>
      <c r="M277" t="str">
        <v>Storage root or cured allium; confirm tops removed and correct storage</v>
      </c>
      <c r="N277" s="2">
        <v>1.97</v>
      </c>
      <c r="O277" s="2">
        <v>1.97</v>
      </c>
      <c r="P277" s="2">
        <v>0</v>
      </c>
      <c r="Q277" s="1">
        <v>0</v>
      </c>
      <c r="R277">
        <v>507</v>
      </c>
      <c r="S277" s="2">
        <v>938.42</v>
      </c>
      <c r="T277" s="2">
        <v>0</v>
      </c>
      <c r="U277" s="1">
        <v>0.45</v>
      </c>
      <c r="V277" t="str">
        <v>No</v>
      </c>
      <c r="W277" s="1">
        <v>0</v>
      </c>
      <c r="X277" t="str">
        <v>No</v>
      </c>
      <c r="Y277" t="str">
        <v>REVIEW hidden / seasonal</v>
      </c>
      <c r="Z277" t="str">
        <v/>
      </c>
      <c r="AA277" t="str">
        <v/>
      </c>
    </row>
    <row r="278">
      <c r="A278" t="str">
        <v>Red Tail Growers</v>
      </c>
      <c r="B278" t="str">
        <v>Organic Vegetables - Roots🧅🧄🥕🥔</v>
      </c>
      <c r="C278">
        <v>805918</v>
      </c>
      <c r="D278" t="str">
        <v>Red Onion</v>
      </c>
      <c r="E278">
        <v>526979</v>
      </c>
      <c r="F278" t="str">
        <v>lb</v>
      </c>
      <c r="G278" t="str">
        <v>Yes</v>
      </c>
      <c r="H278" s="2">
        <v>1.5</v>
      </c>
      <c r="J278" s="1">
        <v>0.45</v>
      </c>
      <c r="K278" s="1">
        <v>0.45</v>
      </c>
      <c r="L278" t="str">
        <v>1 month+ / preserved</v>
      </c>
      <c r="M278" t="str">
        <v>Storage root or cured allium; confirm tops removed and correct storage</v>
      </c>
      <c r="N278" s="2">
        <v>2.17</v>
      </c>
      <c r="O278" s="2">
        <v>2.17</v>
      </c>
      <c r="P278" s="2">
        <v>0</v>
      </c>
      <c r="Q278" s="1">
        <v>0</v>
      </c>
      <c r="R278">
        <v>62</v>
      </c>
      <c r="S278" s="2">
        <v>130.2</v>
      </c>
      <c r="T278" s="2">
        <v>0</v>
      </c>
      <c r="U278" s="1">
        <v>0.45</v>
      </c>
      <c r="V278" t="str">
        <v>No</v>
      </c>
      <c r="W278" s="1">
        <v>0</v>
      </c>
      <c r="X278" t="str">
        <v>No</v>
      </c>
      <c r="Y278" t="str">
        <v>Candidate</v>
      </c>
      <c r="Z278" t="str">
        <v/>
      </c>
      <c r="AA278" t="str">
        <v/>
      </c>
    </row>
    <row r="279">
      <c r="A279" t="str">
        <v>Red Tail Growers</v>
      </c>
      <c r="B279" t="str">
        <v>Organic Vegetables - Roots🧅🧄🥕🥔</v>
      </c>
      <c r="C279">
        <v>805932</v>
      </c>
      <c r="D279" t="str">
        <v>Shallots</v>
      </c>
      <c r="E279">
        <v>526992</v>
      </c>
      <c r="F279" t="str">
        <v>1 lb</v>
      </c>
      <c r="G279" t="str">
        <v>No</v>
      </c>
      <c r="H279" s="2">
        <v>4</v>
      </c>
      <c r="J279" s="1">
        <v>0.45</v>
      </c>
      <c r="K279" s="1">
        <v>0.45</v>
      </c>
      <c r="L279" t="str">
        <v>1 month+ / preserved</v>
      </c>
      <c r="M279" t="str">
        <v>Storage root or cured allium; confirm tops removed and correct storage</v>
      </c>
      <c r="N279" s="2">
        <v>5.8</v>
      </c>
      <c r="O279" s="2">
        <v>5.8</v>
      </c>
      <c r="P279" s="2">
        <v>0</v>
      </c>
      <c r="Q279" s="1">
        <v>0</v>
      </c>
      <c r="R279">
        <v>60</v>
      </c>
      <c r="S279" s="2">
        <v>337.8</v>
      </c>
      <c r="T279" s="2">
        <v>0</v>
      </c>
      <c r="U279" s="1">
        <v>0.45</v>
      </c>
      <c r="V279" t="str">
        <v>No</v>
      </c>
      <c r="W279" s="1">
        <v>0</v>
      </c>
      <c r="X279" t="str">
        <v>No</v>
      </c>
      <c r="Y279" t="str">
        <v>REVIEW hidden / seasonal</v>
      </c>
      <c r="Z279" t="str">
        <v/>
      </c>
      <c r="AA279" t="str">
        <v/>
      </c>
    </row>
    <row r="280">
      <c r="A280" t="str">
        <v>Red Tail Growers</v>
      </c>
      <c r="B280" t="str">
        <v>Organic Vegetables - Roots🧅🧄🥕🥔</v>
      </c>
      <c r="C280">
        <v>1018192</v>
      </c>
      <c r="D280" t="str">
        <v>Yellow Onion</v>
      </c>
      <c r="E280">
        <v>803748</v>
      </c>
      <c r="F280" t="str">
        <v>1lb</v>
      </c>
      <c r="G280" t="str">
        <v>Yes</v>
      </c>
      <c r="H280" s="2">
        <v>1.5</v>
      </c>
      <c r="J280" s="1">
        <v>0.45</v>
      </c>
      <c r="K280" s="1">
        <v>0.45</v>
      </c>
      <c r="L280" t="str">
        <v>1 month+ / preserved</v>
      </c>
      <c r="M280" t="str">
        <v>Storage root or cured allium; confirm tops removed and correct storage</v>
      </c>
      <c r="N280" s="2">
        <v>2.17</v>
      </c>
      <c r="O280" s="2">
        <v>2.17</v>
      </c>
      <c r="P280" s="2">
        <v>0</v>
      </c>
      <c r="Q280" s="1">
        <v>0</v>
      </c>
      <c r="R280">
        <v>139</v>
      </c>
      <c r="S280" s="2">
        <v>305.9</v>
      </c>
      <c r="T280" s="2">
        <v>0</v>
      </c>
      <c r="U280" s="1">
        <v>0.45</v>
      </c>
      <c r="V280" t="str">
        <v>No</v>
      </c>
      <c r="W280" s="1">
        <v>0</v>
      </c>
      <c r="X280" t="str">
        <v>No</v>
      </c>
      <c r="Y280" t="str">
        <v>Candidate</v>
      </c>
      <c r="Z280" t="str">
        <v/>
      </c>
      <c r="AA280" t="str">
        <v/>
      </c>
    </row>
    <row r="281">
      <c r="A281" t="str">
        <v>Small is Beautiful Farm</v>
      </c>
      <c r="B281" t="str">
        <v>Organic Vegetables - Roots🧅🧄🥕🥔</v>
      </c>
      <c r="C281">
        <v>1005221</v>
      </c>
      <c r="D281" t="str">
        <v>Red Onion</v>
      </c>
      <c r="E281">
        <v>785525</v>
      </c>
      <c r="F281" t="str">
        <v>lb</v>
      </c>
      <c r="G281" t="str">
        <v>No</v>
      </c>
      <c r="H281" s="2">
        <v>2</v>
      </c>
      <c r="J281" s="1">
        <v>0.45</v>
      </c>
      <c r="K281" s="1">
        <v>0.45</v>
      </c>
      <c r="L281" t="str">
        <v>1 month+ / preserved</v>
      </c>
      <c r="M281" t="str">
        <v>Storage root or cured allium; confirm tops removed and correct storage</v>
      </c>
      <c r="N281" s="2">
        <v>2.9</v>
      </c>
      <c r="O281" s="2">
        <v>2.9</v>
      </c>
      <c r="P281" s="2">
        <v>0</v>
      </c>
      <c r="Q281" s="1">
        <v>0</v>
      </c>
      <c r="R281">
        <v>88</v>
      </c>
      <c r="S281" s="2">
        <v>247.3</v>
      </c>
      <c r="T281" s="2">
        <v>0</v>
      </c>
      <c r="U281" s="1">
        <v>0.45</v>
      </c>
      <c r="V281" t="str">
        <v>No</v>
      </c>
      <c r="W281" s="1">
        <v>0</v>
      </c>
      <c r="X281" t="str">
        <v>No</v>
      </c>
      <c r="Y281" t="str">
        <v>REVIEW hidden / seasonal</v>
      </c>
      <c r="Z281" t="str">
        <v/>
      </c>
      <c r="AA281" t="str">
        <v/>
      </c>
    </row>
    <row r="282">
      <c r="A282" t="str">
        <v>Small is Beautiful Farm</v>
      </c>
      <c r="B282" t="str">
        <v>Organic Vegetables - Roots🧅🧄🥕🥔</v>
      </c>
      <c r="C282">
        <v>1042571</v>
      </c>
      <c r="D282" t="str">
        <v>Winter Beets</v>
      </c>
      <c r="E282">
        <v>844557</v>
      </c>
      <c r="F282" t="str">
        <v>2 lb bag</v>
      </c>
      <c r="G282" t="str">
        <v>No</v>
      </c>
      <c r="H282" s="2">
        <v>4</v>
      </c>
      <c r="J282" s="1">
        <v>0.45</v>
      </c>
      <c r="K282" s="1">
        <v>0.45</v>
      </c>
      <c r="L282" t="str">
        <v>1 month+ / preserved</v>
      </c>
      <c r="M282" t="str">
        <v>Storage root or cured allium; confirm tops removed and correct storage</v>
      </c>
      <c r="N282" s="2">
        <v>5.8</v>
      </c>
      <c r="O282" s="2">
        <v>5.8</v>
      </c>
      <c r="P282" s="2">
        <v>0</v>
      </c>
      <c r="Q282" s="1">
        <v>0</v>
      </c>
      <c r="R282">
        <v>4</v>
      </c>
      <c r="S282" s="2">
        <v>22.4</v>
      </c>
      <c r="T282" s="2">
        <v>0</v>
      </c>
      <c r="U282" s="1">
        <v>0.45</v>
      </c>
      <c r="V282" t="str">
        <v>No</v>
      </c>
      <c r="W282" s="1">
        <v>0</v>
      </c>
      <c r="X282" t="str">
        <v>No</v>
      </c>
      <c r="Y282" t="str">
        <v>REVIEW hidden / seasonal</v>
      </c>
      <c r="Z282" t="str">
        <v/>
      </c>
      <c r="AA282" t="str">
        <v/>
      </c>
    </row>
    <row r="283">
      <c r="A283" t="str">
        <v>Small is Beautiful Farm</v>
      </c>
      <c r="B283" t="str">
        <v>Organic Vegetables - Roots🧅🧄🥕🥔</v>
      </c>
      <c r="C283">
        <v>929322</v>
      </c>
      <c r="D283" t="str">
        <v>Winter Carrots</v>
      </c>
      <c r="E283">
        <v>677788</v>
      </c>
      <c r="F283" t="str">
        <v>2# bag</v>
      </c>
      <c r="G283" t="str">
        <v>No</v>
      </c>
      <c r="H283" s="2">
        <v>4</v>
      </c>
      <c r="J283" s="1">
        <v>0.45</v>
      </c>
      <c r="K283" s="1">
        <v>0.45</v>
      </c>
      <c r="L283" t="str">
        <v>1 month+ / preserved</v>
      </c>
      <c r="M283" t="str">
        <v>Storage root or cured allium; confirm tops removed and correct storage</v>
      </c>
      <c r="N283" s="2">
        <v>5.8</v>
      </c>
      <c r="O283" s="2">
        <v>5.8</v>
      </c>
      <c r="P283" s="2">
        <v>0</v>
      </c>
      <c r="Q283" s="1">
        <v>0</v>
      </c>
      <c r="R283">
        <v>212</v>
      </c>
      <c r="S283" s="2">
        <v>1195.6</v>
      </c>
      <c r="T283" s="2">
        <v>0</v>
      </c>
      <c r="U283" s="1">
        <v>0.45</v>
      </c>
      <c r="V283" t="str">
        <v>No</v>
      </c>
      <c r="W283" s="1">
        <v>0</v>
      </c>
      <c r="X283" t="str">
        <v>No</v>
      </c>
      <c r="Y283" t="str">
        <v>REVIEW hidden / seasonal</v>
      </c>
      <c r="Z283" t="str">
        <v/>
      </c>
      <c r="AA283" t="str">
        <v/>
      </c>
    </row>
    <row r="284">
      <c r="A284" t="str">
        <v>Winter Green Farm</v>
      </c>
      <c r="B284" t="str">
        <v>Organic Vegetables - Roots🧅🧄🥕🥔</v>
      </c>
      <c r="C284">
        <v>805819</v>
      </c>
      <c r="D284" t="str">
        <v>Celeriac</v>
      </c>
      <c r="E284">
        <v>526876</v>
      </c>
      <c r="F284" t="str">
        <v>each</v>
      </c>
      <c r="G284" t="str">
        <v>No</v>
      </c>
      <c r="H284" s="2">
        <v>2</v>
      </c>
      <c r="J284" s="1">
        <v>0.45</v>
      </c>
      <c r="K284" s="1">
        <v>0.45</v>
      </c>
      <c r="L284" t="str">
        <v>1 month+ / preserved</v>
      </c>
      <c r="M284" t="str">
        <v>Storage root or cured allium; confirm tops removed and correct storage</v>
      </c>
      <c r="N284" s="2">
        <v>2.9</v>
      </c>
      <c r="O284" s="2">
        <v>2.9</v>
      </c>
      <c r="P284" s="2">
        <v>0</v>
      </c>
      <c r="Q284" s="1">
        <v>0</v>
      </c>
      <c r="R284">
        <v>6</v>
      </c>
      <c r="S284" s="2">
        <v>16.8</v>
      </c>
      <c r="T284" s="2">
        <v>0</v>
      </c>
      <c r="U284" s="1">
        <v>0.45</v>
      </c>
      <c r="V284" t="str">
        <v>No</v>
      </c>
      <c r="W284" s="1">
        <v>0</v>
      </c>
      <c r="X284" t="str">
        <v>No</v>
      </c>
      <c r="Y284" t="str">
        <v>REVIEW hidden / seasonal</v>
      </c>
      <c r="Z284" t="str">
        <v/>
      </c>
      <c r="AA284" t="str">
        <v/>
      </c>
    </row>
    <row r="285">
      <c r="A285" t="str">
        <v>Winter Green Farm</v>
      </c>
      <c r="B285" t="str">
        <v>Organic Vegetables - Roots🧅🧄🥕🥔</v>
      </c>
      <c r="C285">
        <v>805845</v>
      </c>
      <c r="D285" t="str">
        <v>Yellow Potatoes (Canada Gold)</v>
      </c>
      <c r="E285">
        <v>526903</v>
      </c>
      <c r="F285" t="str">
        <v>1 lb</v>
      </c>
      <c r="G285" t="str">
        <v>No</v>
      </c>
      <c r="H285" s="2">
        <v>2.15</v>
      </c>
      <c r="J285" s="1">
        <v>0.45</v>
      </c>
      <c r="K285" s="1">
        <v>0.45</v>
      </c>
      <c r="L285" t="str">
        <v>1 month+ / preserved</v>
      </c>
      <c r="M285" t="str">
        <v>Storage root or cured allium; confirm tops removed and correct storage</v>
      </c>
      <c r="N285" s="2">
        <v>3.12</v>
      </c>
      <c r="O285" s="2">
        <v>3.12</v>
      </c>
      <c r="P285" s="2">
        <v>0</v>
      </c>
      <c r="Q285" s="1">
        <v>0</v>
      </c>
      <c r="R285">
        <v>768</v>
      </c>
      <c r="S285" s="2">
        <v>1712.84</v>
      </c>
      <c r="T285" s="2">
        <v>0</v>
      </c>
      <c r="U285" s="1">
        <v>0.45</v>
      </c>
      <c r="V285" t="str">
        <v>No</v>
      </c>
      <c r="W285" s="1">
        <v>0</v>
      </c>
      <c r="X285" t="str">
        <v>No</v>
      </c>
      <c r="Y285" t="str">
        <v>REVIEW hidden / seasonal</v>
      </c>
      <c r="Z285" t="str">
        <v/>
      </c>
      <c r="AA285" t="str">
        <v/>
      </c>
    </row>
    <row r="286">
      <c r="A286" t="str">
        <v>(missing vendor)</v>
      </c>
      <c r="B286" t="str">
        <v>Organic Vegetables - Roots🧅🧄🥕🥔</v>
      </c>
      <c r="C286">
        <v>805846</v>
      </c>
      <c r="D286" t="str">
        <v>Walla Walla Onions</v>
      </c>
      <c r="E286">
        <v>526904</v>
      </c>
      <c r="F286" t="str">
        <v>1 lb</v>
      </c>
      <c r="G286" t="str">
        <v>No</v>
      </c>
      <c r="H286" s="2">
        <v>2</v>
      </c>
      <c r="K286" s="1">
        <v>0.6</v>
      </c>
      <c r="L286" t="str">
        <v>1 week to under 1 month</v>
      </c>
      <c r="M286" t="str">
        <v>Fresh root or allium generally kept for weeks</v>
      </c>
      <c r="O286" s="2">
        <v>3.2</v>
      </c>
      <c r="R286">
        <v>0</v>
      </c>
      <c r="S286" s="2">
        <v>0</v>
      </c>
      <c r="V286" t="str">
        <v>No</v>
      </c>
      <c r="W286" s="1">
        <v>0</v>
      </c>
      <c r="X286" t="str">
        <v>No</v>
      </c>
      <c r="Y286" t="str">
        <v>HOLD missing vendor</v>
      </c>
      <c r="Z286" t="str">
        <v/>
      </c>
      <c r="AA286" t="str">
        <v/>
      </c>
    </row>
    <row r="287">
      <c r="A287" t="str">
        <v>Camas Swale Farm</v>
      </c>
      <c r="B287" t="str">
        <v>Organic Vegetables - Roots🧅🧄🥕🥔</v>
      </c>
      <c r="C287">
        <v>812618</v>
      </c>
      <c r="D287" t="str">
        <v>Fresh Red Onion</v>
      </c>
      <c r="E287">
        <v>534486</v>
      </c>
      <c r="F287" t="str">
        <v>pound</v>
      </c>
      <c r="G287" t="str">
        <v>No</v>
      </c>
      <c r="H287" s="2">
        <v>1.6</v>
      </c>
      <c r="J287" s="1">
        <v>0.45</v>
      </c>
      <c r="K287" s="1">
        <v>0.6</v>
      </c>
      <c r="L287" t="str">
        <v>1 week to under 1 month</v>
      </c>
      <c r="M287" t="str">
        <v>Fresh root or allium generally kept for weeks</v>
      </c>
      <c r="N287" s="2">
        <v>2.32</v>
      </c>
      <c r="O287" s="2">
        <v>2.56</v>
      </c>
      <c r="P287" s="2">
        <v>0.24</v>
      </c>
      <c r="Q287" s="1">
        <v>0.10344827586206917</v>
      </c>
      <c r="R287">
        <v>98</v>
      </c>
      <c r="S287" s="2">
        <v>219.52</v>
      </c>
      <c r="T287" s="2">
        <v>23.52</v>
      </c>
      <c r="U287" s="1">
        <v>0.45</v>
      </c>
      <c r="V287" t="str">
        <v>No</v>
      </c>
      <c r="W287" s="1">
        <v>0</v>
      </c>
      <c r="X287" t="str">
        <v>No</v>
      </c>
      <c r="Y287" t="str">
        <v>REVIEW hidden / seasonal</v>
      </c>
      <c r="Z287" t="str">
        <v/>
      </c>
      <c r="AA287" t="str">
        <v/>
      </c>
    </row>
    <row r="288">
      <c r="A288" t="str">
        <v>Camas Swale Farm</v>
      </c>
      <c r="B288" t="str">
        <v>Organic Vegetables - Roots🧅🧄🥕🥔</v>
      </c>
      <c r="C288">
        <v>897017</v>
      </c>
      <c r="D288" t="str">
        <v>Fresh Sweet Onion</v>
      </c>
      <c r="E288">
        <v>638087</v>
      </c>
      <c r="F288" t="str">
        <v>pound</v>
      </c>
      <c r="G288" t="str">
        <v>No</v>
      </c>
      <c r="H288" s="2">
        <v>1.45</v>
      </c>
      <c r="J288" s="1">
        <v>0.45</v>
      </c>
      <c r="K288" s="1">
        <v>0.6</v>
      </c>
      <c r="L288" t="str">
        <v>1 week to under 1 month</v>
      </c>
      <c r="M288" t="str">
        <v>Fresh root or allium generally kept for weeks</v>
      </c>
      <c r="N288" s="2">
        <v>2.1</v>
      </c>
      <c r="O288" s="2">
        <v>2.32</v>
      </c>
      <c r="P288" s="2">
        <v>0.22</v>
      </c>
      <c r="Q288" s="1">
        <v>0.10476190476190461</v>
      </c>
      <c r="R288">
        <v>0</v>
      </c>
      <c r="S288" s="2">
        <v>0</v>
      </c>
      <c r="T288" s="2">
        <v>0</v>
      </c>
      <c r="U288" s="1">
        <v>0.45</v>
      </c>
      <c r="V288" t="str">
        <v>No</v>
      </c>
      <c r="W288" s="1">
        <v>0</v>
      </c>
      <c r="X288" t="str">
        <v>No</v>
      </c>
      <c r="Y288" t="str">
        <v>REVIEW hidden / seasonal</v>
      </c>
      <c r="Z288" t="str">
        <v/>
      </c>
      <c r="AA288" t="str">
        <v/>
      </c>
    </row>
    <row r="289">
      <c r="A289" t="str">
        <v>Grazier's Garden</v>
      </c>
      <c r="B289" t="str">
        <v>Organic Vegetables - Roots🧅🧄🥕🥔</v>
      </c>
      <c r="C289">
        <v>976168</v>
      </c>
      <c r="D289" t="str">
        <v>French Breakfast Radish</v>
      </c>
      <c r="E289">
        <v>741892</v>
      </c>
      <c r="F289" t="str">
        <v>Bunch</v>
      </c>
      <c r="G289" t="str">
        <v>No</v>
      </c>
      <c r="H289" s="2">
        <v>2</v>
      </c>
      <c r="J289" s="1">
        <v>0.45</v>
      </c>
      <c r="K289" s="1">
        <v>0.6</v>
      </c>
      <c r="L289" t="str">
        <v>1 week to under 1 month</v>
      </c>
      <c r="M289" t="str">
        <v>Fresh root or allium generally kept for weeks</v>
      </c>
      <c r="N289" s="2">
        <v>2.9</v>
      </c>
      <c r="O289" s="2">
        <v>3.2</v>
      </c>
      <c r="P289" s="2">
        <v>0.3</v>
      </c>
      <c r="Q289" s="1">
        <v>0.10344827586206895</v>
      </c>
      <c r="R289">
        <v>38</v>
      </c>
      <c r="S289" s="2">
        <v>106.4</v>
      </c>
      <c r="T289" s="2">
        <v>11.4</v>
      </c>
      <c r="U289" s="1">
        <v>0.45</v>
      </c>
      <c r="V289" t="str">
        <v>No</v>
      </c>
      <c r="W289" s="1">
        <v>0</v>
      </c>
      <c r="X289" t="str">
        <v>No</v>
      </c>
      <c r="Y289" t="str">
        <v>REVIEW hidden / seasonal</v>
      </c>
      <c r="Z289" t="str">
        <v/>
      </c>
      <c r="AA289" t="str">
        <v/>
      </c>
    </row>
    <row r="290">
      <c r="A290" t="str">
        <v>Grazier's Garden</v>
      </c>
      <c r="B290" t="str">
        <v>Organic Vegetables - Roots🧅🧄🥕🥔</v>
      </c>
      <c r="C290">
        <v>896390</v>
      </c>
      <c r="D290" t="str">
        <v>Shishito Peppers</v>
      </c>
      <c r="E290">
        <v>637202</v>
      </c>
      <c r="F290" t="str">
        <v>Lb.</v>
      </c>
      <c r="G290" t="str">
        <v>No</v>
      </c>
      <c r="H290" s="2">
        <v>2.25</v>
      </c>
      <c r="J290" s="1">
        <v>0.45</v>
      </c>
      <c r="K290" s="1">
        <v>0.6</v>
      </c>
      <c r="L290" t="str">
        <v>1 week to under 1 month</v>
      </c>
      <c r="M290" t="str">
        <v>Pepper filed in roots category</v>
      </c>
      <c r="N290" s="2">
        <v>3.26</v>
      </c>
      <c r="O290" s="2">
        <v>3.6</v>
      </c>
      <c r="P290" s="2">
        <v>0.34</v>
      </c>
      <c r="Q290" s="1">
        <v>0.10429447852760743</v>
      </c>
      <c r="R290">
        <v>0</v>
      </c>
      <c r="S290" s="2">
        <v>0</v>
      </c>
      <c r="T290" s="2">
        <v>0</v>
      </c>
      <c r="U290" s="1">
        <v>0.45</v>
      </c>
      <c r="V290" t="str">
        <v>No</v>
      </c>
      <c r="W290" s="1">
        <v>0</v>
      </c>
      <c r="X290" t="str">
        <v>No</v>
      </c>
      <c r="Y290" t="str">
        <v>REVIEW hidden / seasonal</v>
      </c>
      <c r="Z290" t="str">
        <v/>
      </c>
      <c r="AA290" t="str">
        <v/>
      </c>
    </row>
    <row r="291">
      <c r="A291" t="str">
        <v>Grazier's Garden</v>
      </c>
      <c r="B291" t="str">
        <v>Organic Vegetables - Roots🧅🧄🥕🥔</v>
      </c>
      <c r="C291">
        <v>805999</v>
      </c>
      <c r="D291" t="str">
        <v>Sora Radish</v>
      </c>
      <c r="E291">
        <v>527059</v>
      </c>
      <c r="F291" t="str">
        <v>each</v>
      </c>
      <c r="G291" t="str">
        <v>No</v>
      </c>
      <c r="H291" s="2">
        <v>2</v>
      </c>
      <c r="J291" s="1">
        <v>0.45</v>
      </c>
      <c r="K291" s="1">
        <v>0.6</v>
      </c>
      <c r="L291" t="str">
        <v>1 week to under 1 month</v>
      </c>
      <c r="M291" t="str">
        <v>Fresh root or allium generally kept for weeks</v>
      </c>
      <c r="N291" s="2">
        <v>2.9</v>
      </c>
      <c r="O291" s="2">
        <v>3.2</v>
      </c>
      <c r="P291" s="2">
        <v>0.3</v>
      </c>
      <c r="Q291" s="1">
        <v>0.10344827586206895</v>
      </c>
      <c r="R291">
        <v>0</v>
      </c>
      <c r="S291" s="2">
        <v>0</v>
      </c>
      <c r="T291" s="2">
        <v>0</v>
      </c>
      <c r="U291" s="1">
        <v>0.45</v>
      </c>
      <c r="V291" t="str">
        <v>No</v>
      </c>
      <c r="W291" s="1">
        <v>0</v>
      </c>
      <c r="X291" t="str">
        <v>No</v>
      </c>
      <c r="Y291" t="str">
        <v>REVIEW hidden / seasonal</v>
      </c>
      <c r="Z291" t="str">
        <v/>
      </c>
      <c r="AA291" t="str">
        <v/>
      </c>
    </row>
    <row r="292">
      <c r="A292" t="str">
        <v>Little Wings</v>
      </c>
      <c r="B292" t="str">
        <v>Organic Vegetables - Roots🧅🧄🥕🥔</v>
      </c>
      <c r="C292">
        <v>805898</v>
      </c>
      <c r="D292" t="str">
        <v>Fennel</v>
      </c>
      <c r="E292">
        <v>526956</v>
      </c>
      <c r="F292" t="str">
        <v>each</v>
      </c>
      <c r="G292" t="str">
        <v>No</v>
      </c>
      <c r="H292" s="2">
        <v>2.25</v>
      </c>
      <c r="J292" s="1">
        <v>0.45</v>
      </c>
      <c r="K292" s="1">
        <v>0.6</v>
      </c>
      <c r="L292" t="str">
        <v>1 week to under 1 month</v>
      </c>
      <c r="M292" t="str">
        <v>Fresh root or allium generally kept for weeks</v>
      </c>
      <c r="N292" s="2">
        <v>3.26</v>
      </c>
      <c r="O292" s="2">
        <v>3.6</v>
      </c>
      <c r="P292" s="2">
        <v>0.34</v>
      </c>
      <c r="Q292" s="1">
        <v>0.10429447852760743</v>
      </c>
      <c r="R292">
        <v>311</v>
      </c>
      <c r="S292" s="2">
        <v>999.3</v>
      </c>
      <c r="T292" s="2">
        <v>105.74</v>
      </c>
      <c r="U292" s="1">
        <v>0.45</v>
      </c>
      <c r="V292" t="str">
        <v>No</v>
      </c>
      <c r="W292" s="1">
        <v>0</v>
      </c>
      <c r="X292" t="str">
        <v>No</v>
      </c>
      <c r="Y292" t="str">
        <v>REVIEW hidden / seasonal</v>
      </c>
      <c r="Z292" t="str">
        <v/>
      </c>
      <c r="AA292" t="str">
        <v/>
      </c>
    </row>
    <row r="293">
      <c r="A293" t="str">
        <v>Little Wings</v>
      </c>
      <c r="B293" t="str">
        <v>Organic Vegetables - Roots🧅🧄🥕🥔</v>
      </c>
      <c r="C293">
        <v>912730</v>
      </c>
      <c r="D293" t="str">
        <v>Hakurei Turnips</v>
      </c>
      <c r="E293">
        <v>658104</v>
      </c>
      <c r="F293" t="str">
        <v>1 bunch</v>
      </c>
      <c r="G293" t="str">
        <v>No</v>
      </c>
      <c r="H293" s="2">
        <v>2.5</v>
      </c>
      <c r="J293" s="1">
        <v>0.45</v>
      </c>
      <c r="K293" s="1">
        <v>0.6</v>
      </c>
      <c r="L293" t="str">
        <v>1 week to under 1 month</v>
      </c>
      <c r="M293" t="str">
        <v>Fresh root or allium generally kept for weeks</v>
      </c>
      <c r="N293" s="2">
        <v>3.63</v>
      </c>
      <c r="O293" s="2">
        <v>4</v>
      </c>
      <c r="P293" s="2">
        <v>0.37</v>
      </c>
      <c r="Q293" s="1">
        <v>0.10192837465564741</v>
      </c>
      <c r="R293">
        <v>17</v>
      </c>
      <c r="S293" s="2">
        <v>57.05</v>
      </c>
      <c r="T293" s="2">
        <v>6.29</v>
      </c>
      <c r="U293" s="1">
        <v>0.45</v>
      </c>
      <c r="V293" t="str">
        <v>No</v>
      </c>
      <c r="W293" s="1">
        <v>0</v>
      </c>
      <c r="X293" t="str">
        <v>No</v>
      </c>
      <c r="Y293" t="str">
        <v>REVIEW hidden / seasonal</v>
      </c>
      <c r="Z293" t="str">
        <v/>
      </c>
      <c r="AA293" t="str">
        <v/>
      </c>
    </row>
    <row r="294">
      <c r="A294" t="str">
        <v>Little Wings</v>
      </c>
      <c r="B294" t="str">
        <v>Organic Vegetables - Roots🧅🧄🥕🥔</v>
      </c>
      <c r="C294">
        <v>984862</v>
      </c>
      <c r="D294" t="str">
        <v>Walla Walla Onions</v>
      </c>
      <c r="E294">
        <v>754480</v>
      </c>
      <c r="F294" t="str">
        <v>ea</v>
      </c>
      <c r="G294" t="str">
        <v>No</v>
      </c>
      <c r="H294" s="2">
        <v>1.1</v>
      </c>
      <c r="J294" s="1">
        <v>0.45</v>
      </c>
      <c r="K294" s="1">
        <v>0.6</v>
      </c>
      <c r="L294" t="str">
        <v>1 week to under 1 month</v>
      </c>
      <c r="M294" t="str">
        <v>Fresh root or allium generally kept for weeks</v>
      </c>
      <c r="N294" s="2">
        <v>1.59</v>
      </c>
      <c r="O294" s="2">
        <v>1.76</v>
      </c>
      <c r="P294" s="2">
        <v>0.17</v>
      </c>
      <c r="Q294" s="1">
        <v>0.10691823899371067</v>
      </c>
      <c r="R294">
        <v>0</v>
      </c>
      <c r="S294" s="2">
        <v>0</v>
      </c>
      <c r="T294" s="2">
        <v>0</v>
      </c>
      <c r="U294" s="1">
        <v>0.45</v>
      </c>
      <c r="V294" t="str">
        <v>No</v>
      </c>
      <c r="W294" s="1">
        <v>0</v>
      </c>
      <c r="X294" t="str">
        <v>No</v>
      </c>
      <c r="Y294" t="str">
        <v>REVIEW hidden / seasonal</v>
      </c>
      <c r="Z294" t="str">
        <v/>
      </c>
      <c r="AA294" t="str">
        <v/>
      </c>
    </row>
    <row r="295">
      <c r="A295" t="str">
        <v>Little Wings</v>
      </c>
      <c r="B295" t="str">
        <v>Organic Vegetables - Roots🧅🧄🥕🥔</v>
      </c>
      <c r="C295">
        <v>805837</v>
      </c>
      <c r="D295" t="str">
        <v>Watermelon Radish</v>
      </c>
      <c r="E295">
        <v>526894</v>
      </c>
      <c r="F295" t="str">
        <v>1 lb</v>
      </c>
      <c r="G295" t="str">
        <v>No</v>
      </c>
      <c r="H295" s="2">
        <v>3.45</v>
      </c>
      <c r="J295" s="1">
        <v>0.45</v>
      </c>
      <c r="K295" s="1">
        <v>0.6</v>
      </c>
      <c r="L295" t="str">
        <v>1 week to under 1 month</v>
      </c>
      <c r="M295" t="str">
        <v>Fresh root or allium generally kept for weeks</v>
      </c>
      <c r="N295" s="2">
        <v>5</v>
      </c>
      <c r="O295" s="2">
        <v>5.52</v>
      </c>
      <c r="P295" s="2">
        <v>0.52</v>
      </c>
      <c r="Q295" s="1">
        <v>0.10399999999999987</v>
      </c>
      <c r="R295">
        <v>0</v>
      </c>
      <c r="S295" s="2">
        <v>0</v>
      </c>
      <c r="T295" s="2">
        <v>0</v>
      </c>
      <c r="U295" s="1">
        <v>0.45</v>
      </c>
      <c r="V295" t="str">
        <v>No</v>
      </c>
      <c r="W295" s="1">
        <v>0</v>
      </c>
      <c r="X295" t="str">
        <v>No</v>
      </c>
      <c r="Y295" t="str">
        <v>REVIEW hidden / seasonal</v>
      </c>
      <c r="Z295" t="str">
        <v/>
      </c>
      <c r="AA295" t="str">
        <v/>
      </c>
    </row>
    <row r="296">
      <c r="A296" t="str">
        <v>Organically Grown Company</v>
      </c>
      <c r="B296" t="str">
        <v>Organic Vegetables - Roots🧅🧄🥕🥔</v>
      </c>
      <c r="C296">
        <v>926707</v>
      </c>
      <c r="D296" t="str">
        <v>Daikon Radish</v>
      </c>
      <c r="E296">
        <v>674541</v>
      </c>
      <c r="F296" t="str">
        <v>1 Lb</v>
      </c>
      <c r="G296" t="str">
        <v>Yes</v>
      </c>
      <c r="H296" s="2">
        <v>2.2</v>
      </c>
      <c r="J296" s="1">
        <v>0.45</v>
      </c>
      <c r="K296" s="1">
        <v>0.6</v>
      </c>
      <c r="L296" t="str">
        <v>1 week to under 1 month</v>
      </c>
      <c r="M296" t="str">
        <v>Fresh root or allium generally kept for weeks</v>
      </c>
      <c r="N296" s="2">
        <v>3.19</v>
      </c>
      <c r="O296" s="2">
        <v>3.52</v>
      </c>
      <c r="P296" s="2">
        <v>0.33</v>
      </c>
      <c r="Q296" s="1">
        <v>0.10344827586206895</v>
      </c>
      <c r="R296">
        <v>68</v>
      </c>
      <c r="S296" s="2">
        <v>317.75</v>
      </c>
      <c r="T296" s="2">
        <v>22.44</v>
      </c>
      <c r="U296" s="1">
        <v>0.45</v>
      </c>
      <c r="V296" t="str">
        <v>No</v>
      </c>
      <c r="W296" s="1">
        <v>0</v>
      </c>
      <c r="X296" t="str">
        <v>No</v>
      </c>
      <c r="Y296" t="str">
        <v>Candidate</v>
      </c>
      <c r="Z296" t="str">
        <v/>
      </c>
      <c r="AA296" t="str">
        <v/>
      </c>
    </row>
    <row r="297">
      <c r="A297" t="str">
        <v>Organically Grown Company</v>
      </c>
      <c r="B297" t="str">
        <v>Organic Vegetables - Roots🧅🧄🥕🥔</v>
      </c>
      <c r="C297">
        <v>1017922</v>
      </c>
      <c r="D297" t="str">
        <v>Leeks</v>
      </c>
      <c r="E297">
        <v>803319</v>
      </c>
      <c r="F297" t="str">
        <v>1 ct.</v>
      </c>
      <c r="G297" t="str">
        <v>No</v>
      </c>
      <c r="H297" s="2">
        <v>2</v>
      </c>
      <c r="J297" s="1">
        <v>0.45</v>
      </c>
      <c r="K297" s="1">
        <v>0.6</v>
      </c>
      <c r="L297" t="str">
        <v>1 week to under 1 month</v>
      </c>
      <c r="M297" t="str">
        <v>Fresh root or allium generally kept for weeks</v>
      </c>
      <c r="N297" s="2">
        <v>2.9</v>
      </c>
      <c r="O297" s="2">
        <v>3.2</v>
      </c>
      <c r="P297" s="2">
        <v>0.3</v>
      </c>
      <c r="Q297" s="1">
        <v>0.10344827586206895</v>
      </c>
      <c r="R297">
        <v>0</v>
      </c>
      <c r="S297" s="2">
        <v>0</v>
      </c>
      <c r="T297" s="2">
        <v>0</v>
      </c>
      <c r="U297" s="1">
        <v>0.45</v>
      </c>
      <c r="V297" t="str">
        <v>No</v>
      </c>
      <c r="W297" s="1">
        <v>0</v>
      </c>
      <c r="X297" t="str">
        <v>No</v>
      </c>
      <c r="Y297" t="str">
        <v>REVIEW hidden / seasonal</v>
      </c>
      <c r="Z297" t="str">
        <v/>
      </c>
      <c r="AA297" t="str">
        <v/>
      </c>
    </row>
    <row r="298">
      <c r="A298" t="str">
        <v>Organically Grown Company</v>
      </c>
      <c r="B298" t="str">
        <v>Organic Vegetables - Roots🧅🧄🥕🥔</v>
      </c>
      <c r="C298">
        <v>871793</v>
      </c>
      <c r="D298" t="str">
        <v>Sweet Onion</v>
      </c>
      <c r="E298">
        <v>605504</v>
      </c>
      <c r="F298" t="str">
        <v>1lb</v>
      </c>
      <c r="G298" t="str">
        <v>No</v>
      </c>
      <c r="H298" s="2">
        <v>1.05</v>
      </c>
      <c r="J298" s="1">
        <v>0.45</v>
      </c>
      <c r="K298" s="1">
        <v>0.6</v>
      </c>
      <c r="L298" t="str">
        <v>1 week to under 1 month</v>
      </c>
      <c r="M298" t="str">
        <v>Fresh root or allium generally kept for weeks</v>
      </c>
      <c r="N298" s="2">
        <v>1.52</v>
      </c>
      <c r="O298" s="2">
        <v>1.68</v>
      </c>
      <c r="P298" s="2">
        <v>0.16</v>
      </c>
      <c r="Q298" s="1">
        <v>0.10526315789473673</v>
      </c>
      <c r="R298">
        <v>1601</v>
      </c>
      <c r="S298" s="2">
        <v>2357.31</v>
      </c>
      <c r="T298" s="2">
        <v>256.16</v>
      </c>
      <c r="U298" s="1">
        <v>0.45</v>
      </c>
      <c r="V298" t="str">
        <v>No</v>
      </c>
      <c r="W298" s="1">
        <v>0</v>
      </c>
      <c r="X298" t="str">
        <v>No</v>
      </c>
      <c r="Y298" t="str">
        <v>REVIEW hidden / seasonal</v>
      </c>
      <c r="Z298" t="str">
        <v/>
      </c>
      <c r="AA298" t="str">
        <v/>
      </c>
    </row>
    <row r="299">
      <c r="A299" t="str">
        <v>Red Tail Growers</v>
      </c>
      <c r="B299" t="str">
        <v>Organic Vegetables - Roots🧅🧄🥕🥔</v>
      </c>
      <c r="C299">
        <v>805942</v>
      </c>
      <c r="D299" t="str">
        <v>Candy Sweet Onion</v>
      </c>
      <c r="E299">
        <v>527002</v>
      </c>
      <c r="F299" t="str">
        <v>1 lb</v>
      </c>
      <c r="G299" t="str">
        <v>No</v>
      </c>
      <c r="H299" s="2">
        <v>1.5</v>
      </c>
      <c r="J299" s="1">
        <v>0.45</v>
      </c>
      <c r="K299" s="1">
        <v>0.6</v>
      </c>
      <c r="L299" t="str">
        <v>1 week to under 1 month</v>
      </c>
      <c r="M299" t="str">
        <v>Fresh root or allium generally kept for weeks</v>
      </c>
      <c r="N299" s="2">
        <v>2.17</v>
      </c>
      <c r="O299" s="2">
        <v>2.4</v>
      </c>
      <c r="P299" s="2">
        <v>0.23</v>
      </c>
      <c r="Q299" s="1">
        <v>0.10599078341013835</v>
      </c>
      <c r="R299">
        <v>0</v>
      </c>
      <c r="S299" s="2">
        <v>0</v>
      </c>
      <c r="T299" s="2">
        <v>0</v>
      </c>
      <c r="U299" s="1">
        <v>0.45</v>
      </c>
      <c r="V299" t="str">
        <v>No</v>
      </c>
      <c r="W299" s="1">
        <v>0</v>
      </c>
      <c r="X299" t="str">
        <v>No</v>
      </c>
      <c r="Y299" t="str">
        <v>REVIEW hidden / seasonal</v>
      </c>
      <c r="Z299" t="str">
        <v/>
      </c>
      <c r="AA299" t="str">
        <v/>
      </c>
    </row>
    <row r="300">
      <c r="A300" t="str">
        <v>Red Tail Growers</v>
      </c>
      <c r="B300" t="str">
        <v>Organic Vegetables - Roots🧅🧄🥕🥔</v>
      </c>
      <c r="C300">
        <v>805899</v>
      </c>
      <c r="D300" t="str">
        <v>French Breakfast Radish</v>
      </c>
      <c r="E300">
        <v>526957</v>
      </c>
      <c r="F300" t="str">
        <v>each</v>
      </c>
      <c r="G300" t="str">
        <v>No</v>
      </c>
      <c r="H300" s="2">
        <v>1.85</v>
      </c>
      <c r="J300" s="1">
        <v>0.45</v>
      </c>
      <c r="K300" s="1">
        <v>0.6</v>
      </c>
      <c r="L300" t="str">
        <v>1 week to under 1 month</v>
      </c>
      <c r="M300" t="str">
        <v>Fresh root or allium generally kept for weeks</v>
      </c>
      <c r="N300" s="2">
        <v>2.68</v>
      </c>
      <c r="O300" s="2">
        <v>2.96</v>
      </c>
      <c r="P300" s="2">
        <v>0.28</v>
      </c>
      <c r="Q300" s="1">
        <v>0.10447761194029836</v>
      </c>
      <c r="R300">
        <v>0</v>
      </c>
      <c r="S300" s="2">
        <v>0</v>
      </c>
      <c r="T300" s="2">
        <v>0</v>
      </c>
      <c r="U300" s="1">
        <v>0.45</v>
      </c>
      <c r="V300" t="str">
        <v>No</v>
      </c>
      <c r="W300" s="1">
        <v>0</v>
      </c>
      <c r="X300" t="str">
        <v>No</v>
      </c>
      <c r="Y300" t="str">
        <v>REVIEW hidden / seasonal</v>
      </c>
      <c r="Z300" t="str">
        <v/>
      </c>
      <c r="AA300" t="str">
        <v/>
      </c>
    </row>
    <row r="301">
      <c r="A301" t="str">
        <v>Red Tail Growers</v>
      </c>
      <c r="B301" t="str">
        <v>Organic Vegetables - Roots🧅🧄🥕🥔</v>
      </c>
      <c r="C301">
        <v>988808</v>
      </c>
      <c r="D301" t="str">
        <v>Hakurei Turnips</v>
      </c>
      <c r="E301">
        <v>760366</v>
      </c>
      <c r="F301" t="str">
        <v>1 Lb.</v>
      </c>
      <c r="G301" t="str">
        <v>No</v>
      </c>
      <c r="H301" s="2">
        <v>1.8</v>
      </c>
      <c r="J301" s="1">
        <v>0.45</v>
      </c>
      <c r="K301" s="1">
        <v>0.6</v>
      </c>
      <c r="L301" t="str">
        <v>1 week to under 1 month</v>
      </c>
      <c r="M301" t="str">
        <v>Fresh root or allium generally kept for weeks</v>
      </c>
      <c r="N301" s="2">
        <v>2.61</v>
      </c>
      <c r="O301" s="2">
        <v>2.88</v>
      </c>
      <c r="P301" s="2">
        <v>0.27</v>
      </c>
      <c r="Q301" s="1">
        <v>0.10344827586206895</v>
      </c>
      <c r="R301">
        <v>0</v>
      </c>
      <c r="S301" s="2">
        <v>0</v>
      </c>
      <c r="T301" s="2">
        <v>0</v>
      </c>
      <c r="U301" s="1">
        <v>0.45</v>
      </c>
      <c r="V301" t="str">
        <v>No</v>
      </c>
      <c r="W301" s="1">
        <v>0</v>
      </c>
      <c r="X301" t="str">
        <v>No</v>
      </c>
      <c r="Y301" t="str">
        <v>REVIEW hidden / seasonal</v>
      </c>
      <c r="Z301" t="str">
        <v/>
      </c>
      <c r="AA301" t="str">
        <v/>
      </c>
    </row>
    <row r="302">
      <c r="A302" t="str">
        <v>Red Tail Growers</v>
      </c>
      <c r="B302" t="str">
        <v>Organic Vegetables - Roots🧅🧄🥕🥔</v>
      </c>
      <c r="C302">
        <v>859074</v>
      </c>
      <c r="D302" t="str">
        <v>Leeks</v>
      </c>
      <c r="E302">
        <v>588665</v>
      </c>
      <c r="F302" t="str">
        <v>1 lb</v>
      </c>
      <c r="G302" t="str">
        <v>No</v>
      </c>
      <c r="H302" s="2">
        <v>2</v>
      </c>
      <c r="J302" s="1">
        <v>0.45</v>
      </c>
      <c r="K302" s="1">
        <v>0.6</v>
      </c>
      <c r="L302" t="str">
        <v>1 week to under 1 month</v>
      </c>
      <c r="M302" t="str">
        <v>Fresh root or allium generally kept for weeks</v>
      </c>
      <c r="N302" s="2">
        <v>2.9</v>
      </c>
      <c r="O302" s="2">
        <v>3.2</v>
      </c>
      <c r="P302" s="2">
        <v>0.3</v>
      </c>
      <c r="Q302" s="1">
        <v>0.10344827586206895</v>
      </c>
      <c r="R302">
        <v>349</v>
      </c>
      <c r="S302" s="2">
        <v>1050.3</v>
      </c>
      <c r="T302" s="2">
        <v>104.7</v>
      </c>
      <c r="U302" s="1">
        <v>0.45</v>
      </c>
      <c r="V302" t="str">
        <v>No</v>
      </c>
      <c r="W302" s="1">
        <v>0</v>
      </c>
      <c r="X302" t="str">
        <v>No</v>
      </c>
      <c r="Y302" t="str">
        <v>REVIEW hidden / seasonal</v>
      </c>
      <c r="Z302" t="str">
        <v/>
      </c>
      <c r="AA302" t="str">
        <v/>
      </c>
    </row>
    <row r="303">
      <c r="A303" t="str">
        <v>Red Tail Growers</v>
      </c>
      <c r="B303" t="str">
        <v>Organic Vegetables - Roots🧅🧄🥕🥔</v>
      </c>
      <c r="C303">
        <v>912554</v>
      </c>
      <c r="D303" t="str">
        <v>Leeks</v>
      </c>
      <c r="E303">
        <v>657841</v>
      </c>
      <c r="F303" t="str">
        <v>1 bunch</v>
      </c>
      <c r="G303" t="str">
        <v>No</v>
      </c>
      <c r="H303" s="2">
        <v>2</v>
      </c>
      <c r="J303" s="1">
        <v>0.45</v>
      </c>
      <c r="K303" s="1">
        <v>0.6</v>
      </c>
      <c r="L303" t="str">
        <v>1 week to under 1 month</v>
      </c>
      <c r="M303" t="str">
        <v>Fresh root or allium generally kept for weeks</v>
      </c>
      <c r="N303" s="2">
        <v>2.9</v>
      </c>
      <c r="O303" s="2">
        <v>3.2</v>
      </c>
      <c r="P303" s="2">
        <v>0.3</v>
      </c>
      <c r="Q303" s="1">
        <v>0.10344827586206895</v>
      </c>
      <c r="R303">
        <v>132</v>
      </c>
      <c r="S303" s="2">
        <v>464.66</v>
      </c>
      <c r="T303" s="2">
        <v>39.6</v>
      </c>
      <c r="U303" s="1">
        <v>0.45</v>
      </c>
      <c r="V303" t="str">
        <v>No</v>
      </c>
      <c r="W303" s="1">
        <v>0</v>
      </c>
      <c r="X303" t="str">
        <v>No</v>
      </c>
      <c r="Y303" t="str">
        <v>REVIEW hidden / seasonal</v>
      </c>
      <c r="Z303" t="str">
        <v/>
      </c>
      <c r="AA303" t="str">
        <v/>
      </c>
    </row>
    <row r="304">
      <c r="A304" t="str">
        <v>Red Tail Growers</v>
      </c>
      <c r="B304" t="str">
        <v>Organic Vegetables - Roots🧅🧄🥕🥔</v>
      </c>
      <c r="C304">
        <v>805928</v>
      </c>
      <c r="D304" t="str">
        <v>Sweet Salad Turnips</v>
      </c>
      <c r="E304">
        <v>526988</v>
      </c>
      <c r="F304" t="str">
        <v>bu</v>
      </c>
      <c r="G304" t="str">
        <v>No</v>
      </c>
      <c r="H304" s="2">
        <v>2.5</v>
      </c>
      <c r="J304" s="1">
        <v>0.45</v>
      </c>
      <c r="K304" s="1">
        <v>0.6</v>
      </c>
      <c r="L304" t="str">
        <v>1 week to under 1 month</v>
      </c>
      <c r="M304" t="str">
        <v>Fresh root or allium generally kept for weeks</v>
      </c>
      <c r="N304" s="2">
        <v>3.63</v>
      </c>
      <c r="O304" s="2">
        <v>4</v>
      </c>
      <c r="P304" s="2">
        <v>0.37</v>
      </c>
      <c r="Q304" s="1">
        <v>0.10192837465564741</v>
      </c>
      <c r="R304">
        <v>126</v>
      </c>
      <c r="S304" s="2">
        <v>410.55</v>
      </c>
      <c r="T304" s="2">
        <v>46.62</v>
      </c>
      <c r="U304" s="1">
        <v>0.45</v>
      </c>
      <c r="V304" t="str">
        <v>No</v>
      </c>
      <c r="W304" s="1">
        <v>0</v>
      </c>
      <c r="X304" t="str">
        <v>No</v>
      </c>
      <c r="Y304" t="str">
        <v>REVIEW hidden / seasonal</v>
      </c>
      <c r="Z304" t="str">
        <v/>
      </c>
      <c r="AA304" t="str">
        <v/>
      </c>
    </row>
    <row r="305">
      <c r="A305" t="str">
        <v>Red Tail Growers</v>
      </c>
      <c r="B305" t="str">
        <v>Organic Vegetables - Roots🧅🧄🥕🥔</v>
      </c>
      <c r="C305">
        <v>891642</v>
      </c>
      <c r="D305" t="str">
        <v>Walla Walla Onions</v>
      </c>
      <c r="E305">
        <v>631359</v>
      </c>
      <c r="F305" t="str">
        <v>1 bunch</v>
      </c>
      <c r="G305" t="str">
        <v>No</v>
      </c>
      <c r="H305" s="2">
        <v>2.7</v>
      </c>
      <c r="J305" s="1">
        <v>0.45</v>
      </c>
      <c r="K305" s="1">
        <v>0.6</v>
      </c>
      <c r="L305" t="str">
        <v>1 week to under 1 month</v>
      </c>
      <c r="M305" t="str">
        <v>Fresh root or allium generally kept for weeks</v>
      </c>
      <c r="N305" s="2">
        <v>3.92</v>
      </c>
      <c r="O305" s="2">
        <v>4.32</v>
      </c>
      <c r="P305" s="2">
        <v>0.4</v>
      </c>
      <c r="Q305" s="1">
        <v>0.10204081632653073</v>
      </c>
      <c r="R305">
        <v>0</v>
      </c>
      <c r="S305" s="2">
        <v>0</v>
      </c>
      <c r="T305" s="2">
        <v>0</v>
      </c>
      <c r="U305" s="1">
        <v>0.45</v>
      </c>
      <c r="V305" t="str">
        <v>No</v>
      </c>
      <c r="W305" s="1">
        <v>0</v>
      </c>
      <c r="X305" t="str">
        <v>No</v>
      </c>
      <c r="Y305" t="str">
        <v>REVIEW hidden / seasonal</v>
      </c>
      <c r="Z305" t="str">
        <v/>
      </c>
      <c r="AA305" t="str">
        <v/>
      </c>
    </row>
    <row r="306">
      <c r="A306" t="str">
        <v>Small is Beautiful Farm</v>
      </c>
      <c r="B306" t="str">
        <v>Organic Vegetables - Roots🧅🧄🥕🥔</v>
      </c>
      <c r="C306">
        <v>942518</v>
      </c>
      <c r="D306" t="str">
        <v>Leek</v>
      </c>
      <c r="E306">
        <v>696810</v>
      </c>
      <c r="F306" t="str">
        <v>1</v>
      </c>
      <c r="G306" t="str">
        <v>No</v>
      </c>
      <c r="H306" s="2">
        <v>1</v>
      </c>
      <c r="J306" s="1">
        <v>0.45</v>
      </c>
      <c r="K306" s="1">
        <v>0.6</v>
      </c>
      <c r="L306" t="str">
        <v>1 week to under 1 month</v>
      </c>
      <c r="M306" t="str">
        <v>Fresh root or allium generally kept for weeks</v>
      </c>
      <c r="N306" s="2">
        <v>1.45</v>
      </c>
      <c r="O306" s="2">
        <v>1.6</v>
      </c>
      <c r="P306" s="2">
        <v>0.15</v>
      </c>
      <c r="Q306" s="1">
        <v>0.10344827586206895</v>
      </c>
      <c r="R306">
        <v>0</v>
      </c>
      <c r="S306" s="2">
        <v>0</v>
      </c>
      <c r="T306" s="2">
        <v>0</v>
      </c>
      <c r="U306" s="1">
        <v>0.45</v>
      </c>
      <c r="V306" t="str">
        <v>No</v>
      </c>
      <c r="W306" s="1">
        <v>0</v>
      </c>
      <c r="X306" t="str">
        <v>No</v>
      </c>
      <c r="Y306" t="str">
        <v>REVIEW hidden / seasonal</v>
      </c>
      <c r="Z306" t="str">
        <v/>
      </c>
      <c r="AA306" t="str">
        <v/>
      </c>
    </row>
    <row r="307">
      <c r="A307" t="str">
        <v>Winter Green Farm</v>
      </c>
      <c r="B307" t="str">
        <v>Organic Vegetables - Roots🧅🧄🥕🥔</v>
      </c>
      <c r="C307">
        <v>806007</v>
      </c>
      <c r="D307" t="str">
        <v>Pink Beauty Radish</v>
      </c>
      <c r="E307">
        <v>527067</v>
      </c>
      <c r="F307" t="str">
        <v>each</v>
      </c>
      <c r="G307" t="str">
        <v>No</v>
      </c>
      <c r="H307" s="2">
        <v>1.75</v>
      </c>
      <c r="J307" s="1">
        <v>0.45</v>
      </c>
      <c r="K307" s="1">
        <v>0.6</v>
      </c>
      <c r="L307" t="str">
        <v>1 week to under 1 month</v>
      </c>
      <c r="M307" t="str">
        <v>Fresh root or allium generally kept for weeks</v>
      </c>
      <c r="N307" s="2">
        <v>2.54</v>
      </c>
      <c r="O307" s="2">
        <v>2.8</v>
      </c>
      <c r="P307" s="2">
        <v>0.26</v>
      </c>
      <c r="Q307" s="1">
        <v>0.10236220472440927</v>
      </c>
      <c r="R307">
        <v>3</v>
      </c>
      <c r="S307" s="2">
        <v>7.35</v>
      </c>
      <c r="T307" s="2">
        <v>0.78</v>
      </c>
      <c r="U307" s="1">
        <v>0.45</v>
      </c>
      <c r="V307" t="str">
        <v>No</v>
      </c>
      <c r="W307" s="1">
        <v>0</v>
      </c>
      <c r="X307" t="str">
        <v>No</v>
      </c>
      <c r="Y307" t="str">
        <v>REVIEW hidden / seasonal</v>
      </c>
      <c r="Z307" t="str">
        <v/>
      </c>
      <c r="AA307" t="str">
        <v/>
      </c>
    </row>
    <row r="308">
      <c r="A308" t="str">
        <v>Winter Green Farm</v>
      </c>
      <c r="B308" t="str">
        <v>Organic Vegetables - Roots🧅🧄🥕🥔</v>
      </c>
      <c r="C308">
        <v>921713</v>
      </c>
      <c r="D308" t="str">
        <v>Purple Daikon Radish</v>
      </c>
      <c r="E308">
        <v>668239</v>
      </c>
      <c r="F308" t="str">
        <v>1 pound</v>
      </c>
      <c r="G308" t="str">
        <v>Yes</v>
      </c>
      <c r="H308" s="2">
        <v>3.2</v>
      </c>
      <c r="J308" s="1">
        <v>0.45</v>
      </c>
      <c r="K308" s="1">
        <v>0.6</v>
      </c>
      <c r="L308" t="str">
        <v>1 week to under 1 month</v>
      </c>
      <c r="M308" t="str">
        <v>Fresh root or allium generally kept for weeks</v>
      </c>
      <c r="N308" s="2">
        <v>4.64</v>
      </c>
      <c r="O308" s="2">
        <v>5.12</v>
      </c>
      <c r="P308" s="2">
        <v>0.48</v>
      </c>
      <c r="Q308" s="1">
        <v>0.10344827586206917</v>
      </c>
      <c r="R308">
        <v>106</v>
      </c>
      <c r="S308" s="2">
        <v>501.04</v>
      </c>
      <c r="T308" s="2">
        <v>50.88</v>
      </c>
      <c r="U308" s="1">
        <v>0.45</v>
      </c>
      <c r="V308" t="str">
        <v>No</v>
      </c>
      <c r="W308" s="1">
        <v>0</v>
      </c>
      <c r="X308" t="str">
        <v>No</v>
      </c>
      <c r="Y308" t="str">
        <v>Candidate</v>
      </c>
      <c r="Z308" t="str">
        <v/>
      </c>
      <c r="AA308" t="str">
        <v/>
      </c>
    </row>
    <row r="309">
      <c r="A309" t="str">
        <v>Winter Green Farm</v>
      </c>
      <c r="B309" t="str">
        <v>Organic Vegetables - Roots🧅🧄🥕🥔</v>
      </c>
      <c r="C309">
        <v>960551</v>
      </c>
      <c r="D309" t="str">
        <v>Red Radish</v>
      </c>
      <c r="E309">
        <v>720783</v>
      </c>
      <c r="F309" t="str">
        <v>each</v>
      </c>
      <c r="G309" t="str">
        <v>No</v>
      </c>
      <c r="H309" s="2">
        <v>2</v>
      </c>
      <c r="J309" s="1">
        <v>0.45</v>
      </c>
      <c r="K309" s="1">
        <v>0.6</v>
      </c>
      <c r="L309" t="str">
        <v>1 week to under 1 month</v>
      </c>
      <c r="M309" t="str">
        <v>Fresh root or allium generally kept for weeks</v>
      </c>
      <c r="N309" s="2">
        <v>2.9</v>
      </c>
      <c r="O309" s="2">
        <v>3.2</v>
      </c>
      <c r="P309" s="2">
        <v>0.3</v>
      </c>
      <c r="Q309" s="1">
        <v>0.10344827586206895</v>
      </c>
      <c r="R309">
        <v>221</v>
      </c>
      <c r="S309" s="2">
        <v>612.73</v>
      </c>
      <c r="T309" s="2">
        <v>66.3</v>
      </c>
      <c r="U309" s="1">
        <v>0.45</v>
      </c>
      <c r="V309" t="str">
        <v>No</v>
      </c>
      <c r="W309" s="1">
        <v>0</v>
      </c>
      <c r="X309" t="str">
        <v>No</v>
      </c>
      <c r="Y309" t="str">
        <v>REVIEW hidden / seasonal</v>
      </c>
      <c r="Z309" t="str">
        <v/>
      </c>
      <c r="AA309" t="str">
        <v/>
      </c>
    </row>
    <row r="310">
      <c r="A310" t="str">
        <v>Winter Green Farm</v>
      </c>
      <c r="B310" t="str">
        <v>Organic Vegetables - Roots🧅🧄🥕🥔</v>
      </c>
      <c r="C310">
        <v>928531</v>
      </c>
      <c r="D310" t="str">
        <v>Red Skinned Daikon Radish</v>
      </c>
      <c r="E310">
        <v>676675</v>
      </c>
      <c r="F310" t="str">
        <v>lb</v>
      </c>
      <c r="G310" t="str">
        <v>Yes</v>
      </c>
      <c r="H310" s="2">
        <v>3.2</v>
      </c>
      <c r="J310" s="1">
        <v>0.45</v>
      </c>
      <c r="K310" s="1">
        <v>0.6</v>
      </c>
      <c r="L310" t="str">
        <v>1 week to under 1 month</v>
      </c>
      <c r="M310" t="str">
        <v>Fresh root or allium generally kept for weeks</v>
      </c>
      <c r="N310" s="2">
        <v>4.64</v>
      </c>
      <c r="O310" s="2">
        <v>5.12</v>
      </c>
      <c r="P310" s="2">
        <v>0.48</v>
      </c>
      <c r="Q310" s="1">
        <v>0.10344827586206917</v>
      </c>
      <c r="R310">
        <v>33</v>
      </c>
      <c r="S310" s="2">
        <v>132.16</v>
      </c>
      <c r="T310" s="2">
        <v>15.84</v>
      </c>
      <c r="U310" s="1">
        <v>0.45</v>
      </c>
      <c r="V310" t="str">
        <v>No</v>
      </c>
      <c r="W310" s="1">
        <v>0</v>
      </c>
      <c r="X310" t="str">
        <v>No</v>
      </c>
      <c r="Y310" t="str">
        <v>Candidate</v>
      </c>
      <c r="Z310" t="str">
        <v/>
      </c>
      <c r="AA310" t="str">
        <v/>
      </c>
    </row>
    <row r="311">
      <c r="A311" t="str">
        <v>Camas Swale Farm</v>
      </c>
      <c r="B311" t="str">
        <v>Organic Vegetables - Roots🧅🧄🥕🥔</v>
      </c>
      <c r="C311">
        <v>805909</v>
      </c>
      <c r="D311" t="str">
        <v>Garlic Scapes</v>
      </c>
      <c r="E311">
        <v>526967</v>
      </c>
      <c r="F311" t="str">
        <v>bunch</v>
      </c>
      <c r="G311" t="str">
        <v>No</v>
      </c>
      <c r="H311" s="2">
        <v>2.5</v>
      </c>
      <c r="J311" s="1">
        <v>0.45</v>
      </c>
      <c r="K311" s="1">
        <v>1</v>
      </c>
      <c r="L311" t="str">
        <v>Under 1 week / high loss</v>
      </c>
      <c r="M311" t="str">
        <v>Fresh or bunched roots/alliums with tender tops</v>
      </c>
      <c r="N311" s="2">
        <v>3.63</v>
      </c>
      <c r="O311" s="2">
        <v>5</v>
      </c>
      <c r="P311" s="2">
        <v>1.37</v>
      </c>
      <c r="Q311" s="1">
        <v>0.3774104683195594</v>
      </c>
      <c r="R311">
        <v>0</v>
      </c>
      <c r="S311" s="2">
        <v>0</v>
      </c>
      <c r="T311" s="2">
        <v>0</v>
      </c>
      <c r="U311" s="1">
        <v>0.45</v>
      </c>
      <c r="V311" t="str">
        <v>No</v>
      </c>
      <c r="W311" s="1">
        <v>0</v>
      </c>
      <c r="X311" t="str">
        <v>No</v>
      </c>
      <c r="Y311" t="str">
        <v>REVIEW hidden / seasonal</v>
      </c>
      <c r="Z311" t="str">
        <v/>
      </c>
      <c r="AA311" t="str">
        <v/>
      </c>
    </row>
    <row r="312">
      <c r="A312" t="str">
        <v>Camas Swale Farm</v>
      </c>
      <c r="B312" t="str">
        <v>Organic Vegetables - Roots🧅🧄🥕🥔</v>
      </c>
      <c r="C312">
        <v>882263</v>
      </c>
      <c r="D312" t="str">
        <v>Green garlic</v>
      </c>
      <c r="E312">
        <v>618950</v>
      </c>
      <c r="F312" t="str">
        <v>bu</v>
      </c>
      <c r="G312" t="str">
        <v>No</v>
      </c>
      <c r="H312" s="2">
        <v>2.35</v>
      </c>
      <c r="J312" s="1">
        <v>0.45</v>
      </c>
      <c r="K312" s="1">
        <v>1</v>
      </c>
      <c r="L312" t="str">
        <v>Under 1 week / high loss</v>
      </c>
      <c r="M312" t="str">
        <v>Fresh or bunched roots/alliums with tender tops</v>
      </c>
      <c r="N312" s="2">
        <v>3.41</v>
      </c>
      <c r="O312" s="2">
        <v>4.7</v>
      </c>
      <c r="P312" s="2">
        <v>1.29</v>
      </c>
      <c r="Q312" s="1">
        <v>0.378299120234604</v>
      </c>
      <c r="R312">
        <v>0</v>
      </c>
      <c r="S312" s="2">
        <v>0</v>
      </c>
      <c r="T312" s="2">
        <v>0</v>
      </c>
      <c r="U312" s="1">
        <v>0.45</v>
      </c>
      <c r="V312" t="str">
        <v>No</v>
      </c>
      <c r="W312" s="1">
        <v>0</v>
      </c>
      <c r="X312" t="str">
        <v>No</v>
      </c>
      <c r="Y312" t="str">
        <v>REVIEW hidden / seasonal</v>
      </c>
      <c r="Z312" t="str">
        <v/>
      </c>
      <c r="AA312" t="str">
        <v/>
      </c>
    </row>
    <row r="313">
      <c r="A313" t="str">
        <v>Camas Swale Farm</v>
      </c>
      <c r="B313" t="str">
        <v>Organic Vegetables - Roots🧅🧄🥕🥔</v>
      </c>
      <c r="C313">
        <v>805925</v>
      </c>
      <c r="D313" t="str">
        <v>Green Scallions</v>
      </c>
      <c r="E313">
        <v>526985</v>
      </c>
      <c r="F313" t="str">
        <v>each</v>
      </c>
      <c r="G313" t="str">
        <v>No</v>
      </c>
      <c r="H313" s="2">
        <v>2</v>
      </c>
      <c r="J313" s="1">
        <v>0.45</v>
      </c>
      <c r="K313" s="1">
        <v>1</v>
      </c>
      <c r="L313" t="str">
        <v>Under 1 week / high loss</v>
      </c>
      <c r="M313" t="str">
        <v>Fresh or bunched roots/alliums with tender tops</v>
      </c>
      <c r="N313" s="2">
        <v>2.9</v>
      </c>
      <c r="O313" s="2">
        <v>4</v>
      </c>
      <c r="P313" s="2">
        <v>1.1</v>
      </c>
      <c r="Q313" s="1">
        <v>0.3793103448275863</v>
      </c>
      <c r="R313">
        <v>237</v>
      </c>
      <c r="S313" s="2">
        <v>663.6</v>
      </c>
      <c r="T313" s="2">
        <v>260.7</v>
      </c>
      <c r="U313" s="1">
        <v>0.45</v>
      </c>
      <c r="V313" t="str">
        <v>No</v>
      </c>
      <c r="W313" s="1">
        <v>0</v>
      </c>
      <c r="X313" t="str">
        <v>No</v>
      </c>
      <c r="Y313" t="str">
        <v>REVIEW hidden / seasonal</v>
      </c>
      <c r="Z313" t="str">
        <v/>
      </c>
      <c r="AA313" t="str">
        <v/>
      </c>
    </row>
    <row r="314">
      <c r="A314" t="str">
        <v>Little Wings</v>
      </c>
      <c r="B314" t="str">
        <v>Organic Vegetables - Roots🧅🧄🥕🥔</v>
      </c>
      <c r="C314">
        <v>805990</v>
      </c>
      <c r="D314" t="str">
        <v>Purple Scallions</v>
      </c>
      <c r="E314">
        <v>527049</v>
      </c>
      <c r="F314" t="str">
        <v>each</v>
      </c>
      <c r="G314" t="str">
        <v>No</v>
      </c>
      <c r="H314" s="2">
        <v>2</v>
      </c>
      <c r="J314" s="1">
        <v>0.45</v>
      </c>
      <c r="K314" s="1">
        <v>1</v>
      </c>
      <c r="L314" t="str">
        <v>Under 1 week / high loss</v>
      </c>
      <c r="M314" t="str">
        <v>Fresh or bunched roots/alliums with tender tops</v>
      </c>
      <c r="N314" s="2">
        <v>2.9</v>
      </c>
      <c r="O314" s="2">
        <v>4</v>
      </c>
      <c r="P314" s="2">
        <v>1.1</v>
      </c>
      <c r="Q314" s="1">
        <v>0.3793103448275863</v>
      </c>
      <c r="R314">
        <v>74</v>
      </c>
      <c r="S314" s="2">
        <v>207.2</v>
      </c>
      <c r="T314" s="2">
        <v>81.4</v>
      </c>
      <c r="U314" s="1">
        <v>0.45</v>
      </c>
      <c r="V314" t="str">
        <v>No</v>
      </c>
      <c r="W314" s="1">
        <v>0</v>
      </c>
      <c r="X314" t="str">
        <v>No</v>
      </c>
      <c r="Y314" t="str">
        <v>REVIEW hidden / seasonal</v>
      </c>
      <c r="Z314" t="str">
        <v/>
      </c>
      <c r="AA314" t="str">
        <v/>
      </c>
    </row>
    <row r="315">
      <c r="A315" t="str">
        <v>Organically Grown Company</v>
      </c>
      <c r="B315" t="str">
        <v>Organic Vegetables - Roots🧅🧄🥕🥔</v>
      </c>
      <c r="C315">
        <v>983715</v>
      </c>
      <c r="D315" t="str">
        <v>Green garlic</v>
      </c>
      <c r="E315">
        <v>752788</v>
      </c>
      <c r="F315" t="str">
        <v>1 lb</v>
      </c>
      <c r="G315" t="str">
        <v>No</v>
      </c>
      <c r="H315" s="2">
        <v>7.25</v>
      </c>
      <c r="J315" s="1">
        <v>0.45</v>
      </c>
      <c r="K315" s="1">
        <v>1</v>
      </c>
      <c r="L315" t="str">
        <v>Under 1 week / high loss</v>
      </c>
      <c r="M315" t="str">
        <v>Fresh or bunched roots/alliums with tender tops</v>
      </c>
      <c r="N315" s="2">
        <v>10.51</v>
      </c>
      <c r="O315" s="2">
        <v>14.5</v>
      </c>
      <c r="P315" s="2">
        <v>3.99</v>
      </c>
      <c r="Q315" s="1">
        <v>0.379638439581351</v>
      </c>
      <c r="R315">
        <v>27</v>
      </c>
      <c r="S315" s="2">
        <v>274.05</v>
      </c>
      <c r="T315" s="2">
        <v>107.73</v>
      </c>
      <c r="U315" s="1">
        <v>0.45</v>
      </c>
      <c r="V315" t="str">
        <v>No</v>
      </c>
      <c r="W315" s="1">
        <v>0</v>
      </c>
      <c r="X315" t="str">
        <v>No</v>
      </c>
      <c r="Y315" t="str">
        <v>REVIEW hidden / seasonal</v>
      </c>
      <c r="Z315" t="str">
        <v/>
      </c>
      <c r="AA315" t="str">
        <v/>
      </c>
    </row>
    <row r="316">
      <c r="A316" t="str">
        <v>Organically Grown Company</v>
      </c>
      <c r="B316" t="str">
        <v>Organic Vegetables - Roots🧅🧄🥕🥔</v>
      </c>
      <c r="C316">
        <v>983715</v>
      </c>
      <c r="D316" t="str">
        <v>Green garlic</v>
      </c>
      <c r="E316">
        <v>919343</v>
      </c>
      <c r="F316" t="str">
        <v>1/2 lb</v>
      </c>
      <c r="G316" t="str">
        <v>No</v>
      </c>
      <c r="H316" s="2">
        <v>3.63</v>
      </c>
      <c r="J316" s="1">
        <v>0.45</v>
      </c>
      <c r="K316" s="1">
        <v>1</v>
      </c>
      <c r="L316" t="str">
        <v>Under 1 week / high loss</v>
      </c>
      <c r="M316" t="str">
        <v>Fresh or bunched roots/alliums with tender tops</v>
      </c>
      <c r="N316" s="2">
        <v>5.26</v>
      </c>
      <c r="O316" s="2">
        <v>7.26</v>
      </c>
      <c r="P316" s="2">
        <v>2</v>
      </c>
      <c r="Q316" s="1">
        <v>0.3802281368821292</v>
      </c>
      <c r="R316">
        <v>30</v>
      </c>
      <c r="S316" s="2">
        <v>152.4</v>
      </c>
      <c r="T316" s="2">
        <v>60</v>
      </c>
      <c r="U316" s="1">
        <v>0.45</v>
      </c>
      <c r="V316" t="str">
        <v>No</v>
      </c>
      <c r="W316" s="1">
        <v>0</v>
      </c>
      <c r="X316" t="str">
        <v>No</v>
      </c>
      <c r="Y316" t="str">
        <v>REVIEW hidden / seasonal</v>
      </c>
      <c r="Z316" t="str">
        <v/>
      </c>
      <c r="AA316" t="str">
        <v/>
      </c>
    </row>
    <row r="317">
      <c r="A317" t="str">
        <v>Red Tail Growers</v>
      </c>
      <c r="B317" t="str">
        <v>Organic Vegetables - Roots🧅🧄🥕🥔</v>
      </c>
      <c r="C317">
        <v>879552</v>
      </c>
      <c r="D317" t="str">
        <v>Green Garlic</v>
      </c>
      <c r="E317">
        <v>615273</v>
      </c>
      <c r="F317" t="str">
        <v>bu</v>
      </c>
      <c r="G317" t="str">
        <v>No</v>
      </c>
      <c r="H317" s="2">
        <v>2</v>
      </c>
      <c r="J317" s="1">
        <v>0.45</v>
      </c>
      <c r="K317" s="1">
        <v>1</v>
      </c>
      <c r="L317" t="str">
        <v>Under 1 week / high loss</v>
      </c>
      <c r="M317" t="str">
        <v>Fresh or bunched roots/alliums with tender tops</v>
      </c>
      <c r="N317" s="2">
        <v>2.9</v>
      </c>
      <c r="O317" s="2">
        <v>4</v>
      </c>
      <c r="P317" s="2">
        <v>1.1</v>
      </c>
      <c r="Q317" s="1">
        <v>0.3793103448275863</v>
      </c>
      <c r="R317">
        <v>34</v>
      </c>
      <c r="S317" s="2">
        <v>95.2</v>
      </c>
      <c r="T317" s="2">
        <v>37.4</v>
      </c>
      <c r="U317" s="1">
        <v>0.45</v>
      </c>
      <c r="V317" t="str">
        <v>No</v>
      </c>
      <c r="W317" s="1">
        <v>0</v>
      </c>
      <c r="X317" t="str">
        <v>No</v>
      </c>
      <c r="Y317" t="str">
        <v>REVIEW hidden / seasonal</v>
      </c>
      <c r="Z317" t="str">
        <v/>
      </c>
      <c r="AA317" t="str">
        <v/>
      </c>
    </row>
    <row r="318">
      <c r="A318" t="str">
        <v>Small is Beautiful Farm</v>
      </c>
      <c r="B318" t="str">
        <v>Organic Vegetables - Roots🧅🧄🥕🥔</v>
      </c>
      <c r="C318">
        <v>983730</v>
      </c>
      <c r="D318" t="str">
        <v>Green Scallions</v>
      </c>
      <c r="E318">
        <v>752815</v>
      </c>
      <c r="F318" t="str">
        <v>each</v>
      </c>
      <c r="G318" t="str">
        <v>No</v>
      </c>
      <c r="H318" s="2">
        <v>2.5</v>
      </c>
      <c r="J318" s="1">
        <v>0.45</v>
      </c>
      <c r="K318" s="1">
        <v>1</v>
      </c>
      <c r="L318" t="str">
        <v>Under 1 week / high loss</v>
      </c>
      <c r="M318" t="str">
        <v>Fresh or bunched roots/alliums with tender tops</v>
      </c>
      <c r="N318" s="2">
        <v>3.63</v>
      </c>
      <c r="O318" s="2">
        <v>5</v>
      </c>
      <c r="P318" s="2">
        <v>1.37</v>
      </c>
      <c r="Q318" s="1">
        <v>0.3774104683195594</v>
      </c>
      <c r="R318">
        <v>96</v>
      </c>
      <c r="S318" s="2">
        <v>355.6</v>
      </c>
      <c r="T318" s="2">
        <v>131.52</v>
      </c>
      <c r="U318" s="1">
        <v>0.45</v>
      </c>
      <c r="V318" t="str">
        <v>No</v>
      </c>
      <c r="W318" s="1">
        <v>0</v>
      </c>
      <c r="X318" t="str">
        <v>No</v>
      </c>
      <c r="Y318" t="str">
        <v>REVIEW hidden / seasonal</v>
      </c>
      <c r="Z318" t="str">
        <v/>
      </c>
      <c r="AA318" t="str">
        <v/>
      </c>
    </row>
    <row r="319">
      <c r="A319" t="str">
        <v>Winter Green Farm</v>
      </c>
      <c r="B319" t="str">
        <v>Organic Vegetables - Roots🧅🧄🥕🥔</v>
      </c>
      <c r="C319">
        <v>805822</v>
      </c>
      <c r="D319" t="str">
        <v>Spring Onion Bunch</v>
      </c>
      <c r="E319">
        <v>526879</v>
      </c>
      <c r="F319" t="str">
        <v>1 bunch</v>
      </c>
      <c r="G319" t="str">
        <v>No</v>
      </c>
      <c r="H319" s="2">
        <v>3</v>
      </c>
      <c r="J319" s="1">
        <v>0.45</v>
      </c>
      <c r="K319" s="1">
        <v>1</v>
      </c>
      <c r="L319" t="str">
        <v>Under 1 week / high loss</v>
      </c>
      <c r="M319" t="str">
        <v>Fresh or bunched roots/alliums with tender tops</v>
      </c>
      <c r="N319" s="2">
        <v>4.35</v>
      </c>
      <c r="O319" s="2">
        <v>6</v>
      </c>
      <c r="P319" s="2">
        <v>1.65</v>
      </c>
      <c r="Q319" s="1">
        <v>0.3793103448275863</v>
      </c>
      <c r="R319">
        <v>83</v>
      </c>
      <c r="S319" s="2">
        <v>341.6</v>
      </c>
      <c r="T319" s="2">
        <v>136.95</v>
      </c>
      <c r="U319" s="1">
        <v>0.45</v>
      </c>
      <c r="V319" t="str">
        <v>No</v>
      </c>
      <c r="W319" s="1">
        <v>0</v>
      </c>
      <c r="X319" t="str">
        <v>No</v>
      </c>
      <c r="Y319" t="str">
        <v>REVIEW hidden / seasonal</v>
      </c>
      <c r="Z319" t="str">
        <v/>
      </c>
      <c r="AA319" t="str">
        <v/>
      </c>
    </row>
  </sheetData>
  <autoFilter ref="A1:AA319"/>
  <ignoredErrors>
    <ignoredError numberStoredAsText="1" sqref="A1:AA3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3"/>
  <sheetViews>
    <sheetView workbookViewId="0"/>
  </sheetViews>
  <cols>
    <col min="1" max="1" width="62.83203125" customWidth="1"/>
    <col min="2" max="2" width="24.83203125" customWidth="1"/>
    <col min="3" max="3" width="27.83203125" customWidth="1"/>
    <col min="4" max="4" width="27.83203125" customWidth="1"/>
    <col min="5" max="5" width="29.83203125" customWidth="1"/>
    <col min="6" max="6" width="29.83203125" customWidth="1"/>
    <col min="7" max="7" width="35.83203125" customWidth="1"/>
    <col min="8" max="8" width="34.83203125" customWidth="1"/>
    <col min="9" max="9" width="43.83203125" customWidth="1"/>
    <col min="10" max="10" width="42.83203125" customWidth="1"/>
  </cols>
  <sheetData>
    <row r="1">
      <c r="A1" t="str">
        <v>PROFIT MODEL — INCREMENTAL EFFECT, NOT AUDITED NET INCOME</v>
      </c>
    </row>
    <row r="2">
      <c r="A2" t="str">
        <v>Sales period</v>
      </c>
      <c r="B2" t="str">
        <v>2026-01-01 through 2026-09-30</v>
      </c>
    </row>
    <row r="3">
      <c r="A3" t="str">
        <v>Included</v>
      </c>
      <c r="B3" t="str">
        <v>OPEN + PAID Local Line order lines in Guest, CSA Members, Herd Share, and SNAP; eligible produce SKUs only. Hidden seasonal SKUs with historic sales are included.</v>
      </c>
    </row>
    <row r="4">
      <c r="A4" t="str">
        <v>Method</v>
      </c>
      <c r="B4" t="str">
        <v>Replay historic units at CURRENT local prices and proposed prices; hold other expenses constant. Package base is a COGS proxy, not verified invoice cost.</v>
      </c>
    </row>
    <row r="5">
      <c r="A5" t="str">
        <v>Variable transaction fee (editable)</v>
      </c>
      <c r="B5" s="1">
        <v>0.03</v>
      </c>
    </row>
    <row r="6">
      <c r="A6" t="str">
        <v>Historical actual revenue — all four lists</v>
      </c>
      <c r="B6" s="2">
        <v>595303.44</v>
      </c>
    </row>
    <row r="7">
      <c r="A7" t="str">
        <v>Actual accounting net income for same period (enter)</v>
      </c>
    </row>
    <row r="8">
      <c r="A8" t="str">
        <v>Historical actual revenue — modeled affected SKUs</v>
      </c>
      <c r="B8" s="2">
        <v>92876.5</v>
      </c>
    </row>
    <row r="9">
      <c r="A9" t="str">
        <v>Replayed current revenue — affected SKUs</v>
      </c>
      <c r="B9" s="2">
        <v>96518.49</v>
      </c>
    </row>
    <row r="10">
      <c r="A10" t="str">
        <v>Replayed proposed revenue — affected SKUs</v>
      </c>
      <c r="B10" s="2">
        <v>117289.19</v>
      </c>
    </row>
    <row r="11">
      <c r="A11" t="str">
        <v>Purchase/base cost proxy — affected SKU units</v>
      </c>
      <c r="B11" s="2">
        <v>66562.79</v>
      </c>
    </row>
    <row r="12">
      <c r="A12" t="str">
        <v>Historical sales lines — all four lists</v>
      </c>
      <c r="B12">
        <v>46439</v>
      </c>
    </row>
    <row r="13">
      <c r="A13" t="str">
        <v>Affected SKU/list rows used</v>
      </c>
      <c r="B13">
        <v>492</v>
      </c>
    </row>
    <row r="14">
      <c r="A14" t="str">
        <v>Currently visible SKUs — net change, same units</v>
      </c>
      <c r="B14" s="2">
        <v>8390.55</v>
      </c>
    </row>
    <row r="15">
      <c r="A15" t="str">
        <v>Hidden / seasonal SKUs — potential net change</v>
      </c>
      <c r="B15" s="2">
        <v>11757.03</v>
      </c>
    </row>
    <row r="16">
      <c r="A16" t="str">
        <v>Unmatched sales or held prices</v>
      </c>
      <c r="B16" t="str">
        <v>Not modeled. See Product Pricing HOLD rows; blanks or missing package links reduce coverage.</v>
      </c>
    </row>
    <row r="18">
      <c r="A18" t="str">
        <v>SCENARIO</v>
      </c>
      <c r="B18" t="str">
        <v>Unit volume decline</v>
      </c>
      <c r="C18" t="str">
        <v>Current replay revenue</v>
      </c>
      <c r="D18" t="str">
        <v>New replay revenue</v>
      </c>
      <c r="E18" t="str">
        <v>Purchase cost if adjusted</v>
      </c>
      <c r="F18" t="str">
        <v>Purchase cost if fixed</v>
      </c>
      <c r="G18" t="str">
        <v>Net profit change: buying adjusts</v>
      </c>
      <c r="H18" t="str">
        <v>Net profit change: purchases fixed</v>
      </c>
      <c r="I18" t="str">
        <v>Overall net profit if baseline entered — adjusted</v>
      </c>
      <c r="J18" t="str">
        <v>Overall net profit if baseline entered — fixed</v>
      </c>
    </row>
    <row r="19">
      <c r="A19" t="str">
        <v>0% fewer units</v>
      </c>
      <c r="B19" s="1">
        <v>0</v>
      </c>
      <c r="C19" s="2">
        <v>96518.49</v>
      </c>
      <c r="D19">
        <f>(1-B19)*$B$10</f>
        <v>117289.19</v>
      </c>
      <c r="E19">
        <f>(1-B19)*$B$11</f>
        <v>66562.79</v>
      </c>
      <c r="F19" s="2">
        <v>66562.79</v>
      </c>
      <c r="G19">
        <f>(D19-C19)*(1-$B$5)+$B$11-E19</f>
        <v>20147.58</v>
      </c>
      <c r="H19">
        <f>(D19-C19)*(1-$B$5)</f>
        <v>20147.58</v>
      </c>
      <c r="I19" t="str">
        <f>IF(ISNUMBER($B$7),$B$7+G19,"Enter B7")</f>
        <v>Enter B7</v>
      </c>
      <c r="J19" t="str">
        <f>IF(ISNUMBER($B$7),$B$7+H19,"Enter B7")</f>
        <v>Enter B7</v>
      </c>
    </row>
    <row r="20">
      <c r="A20" t="str">
        <v>5% fewer units</v>
      </c>
      <c r="B20" s="1">
        <v>0.05</v>
      </c>
      <c r="C20" s="2">
        <v>96518.49</v>
      </c>
      <c r="D20">
        <f>(1-B20)*$B$10</f>
        <v>111424.73</v>
      </c>
      <c r="E20">
        <f>(1-B20)*$B$11</f>
        <v>63234.65</v>
      </c>
      <c r="F20" s="2">
        <v>66562.79</v>
      </c>
      <c r="G20">
        <f>(D20-C20)*(1-$B$5)+$B$11-E20</f>
        <v>17787.19</v>
      </c>
      <c r="H20">
        <f>(D20-C20)*(1-$B$5)</f>
        <v>14459.05</v>
      </c>
      <c r="I20" t="str">
        <f>IF(ISNUMBER($B$7),$B$7+G20,"Enter B7")</f>
        <v>Enter B7</v>
      </c>
      <c r="J20" t="str">
        <f>IF(ISNUMBER($B$7),$B$7+H20,"Enter B7")</f>
        <v>Enter B7</v>
      </c>
    </row>
    <row r="21">
      <c r="A21" t="str">
        <v>10% fewer units</v>
      </c>
      <c r="B21" s="1">
        <v>0.1</v>
      </c>
      <c r="C21" s="2">
        <v>96518.49</v>
      </c>
      <c r="D21">
        <f>(1-B21)*$B$10</f>
        <v>105560.27</v>
      </c>
      <c r="E21">
        <f>(1-B21)*$B$11</f>
        <v>59906.51</v>
      </c>
      <c r="F21" s="2">
        <v>66562.79</v>
      </c>
      <c r="G21">
        <f>(D21-C21)*(1-$B$5)+$B$11-E21</f>
        <v>15426.81</v>
      </c>
      <c r="H21">
        <f>(D21-C21)*(1-$B$5)</f>
        <v>8770.53</v>
      </c>
      <c r="I21" t="str">
        <f>IF(ISNUMBER($B$7),$B$7+G21,"Enter B7")</f>
        <v>Enter B7</v>
      </c>
      <c r="J21" t="str">
        <f>IF(ISNUMBER($B$7),$B$7+H21,"Enter B7")</f>
        <v>Enter B7</v>
      </c>
    </row>
    <row r="22">
      <c r="A22" t="str">
        <v>20% fewer units</v>
      </c>
      <c r="B22" s="1">
        <v>0.2</v>
      </c>
      <c r="C22" s="2">
        <v>96518.49</v>
      </c>
      <c r="D22">
        <f>(1-B22)*$B$10</f>
        <v>93831.35</v>
      </c>
      <c r="E22">
        <f>(1-B22)*$B$11</f>
        <v>53250.23</v>
      </c>
      <c r="F22" s="2">
        <v>66562.79</v>
      </c>
      <c r="G22">
        <f>(D22-C22)*(1-$B$5)+$B$11-E22</f>
        <v>10706.03</v>
      </c>
      <c r="H22">
        <f>(D22-C22)*(1-$B$5)</f>
        <v>-2606.52</v>
      </c>
      <c r="I22" t="str">
        <f>IF(ISNUMBER($B$7),$B$7+G22,"Enter B7")</f>
        <v>Enter B7</v>
      </c>
      <c r="J22" t="str">
        <f>IF(ISNUMBER($B$7),$B$7+H22,"Enter B7")</f>
        <v>Enter B7</v>
      </c>
    </row>
    <row r="24">
      <c r="A24" t="str">
        <v>CATEGORY EFFECT AT UNCHANGED UNITS</v>
      </c>
      <c r="B24" t="str">
        <v>Historic units</v>
      </c>
      <c r="C24" t="str">
        <v>Current replay revenue</v>
      </c>
      <c r="D24" t="str">
        <v>Proposed replay revenue</v>
      </c>
      <c r="E24" t="str">
        <v>Revenue change</v>
      </c>
      <c r="F24" t="str">
        <v>Net change after fee</v>
      </c>
    </row>
    <row r="25">
      <c r="A25" t="str">
        <v>Organic Fruit 🍒🍎🫐</v>
      </c>
      <c r="B25">
        <v>5146</v>
      </c>
      <c r="C25" s="2">
        <v>17987.55</v>
      </c>
      <c r="D25" s="2">
        <v>21230.78</v>
      </c>
      <c r="E25" s="2">
        <v>3243.23</v>
      </c>
      <c r="F25" s="2">
        <f>(D25-C25)*(1-$B$5)</f>
        <v>3145.93</v>
      </c>
    </row>
    <row r="26">
      <c r="A26" t="str">
        <v>Organic Vegetables - Herbs🌿</v>
      </c>
      <c r="B26">
        <v>1445</v>
      </c>
      <c r="C26" s="2">
        <v>4381.99</v>
      </c>
      <c r="D26" s="2">
        <v>6045.5</v>
      </c>
      <c r="E26" s="2">
        <v>1663.51</v>
      </c>
      <c r="F26" s="2">
        <f>(D26-C26)*(1-$B$5)</f>
        <v>1613.6</v>
      </c>
    </row>
    <row r="27">
      <c r="A27" t="str">
        <v>Organic Vegetables - Roots🧅🧄🥕🥔</v>
      </c>
      <c r="B27">
        <v>9064</v>
      </c>
      <c r="C27" s="2">
        <v>23762.45</v>
      </c>
      <c r="D27" s="2">
        <v>25328.42</v>
      </c>
      <c r="E27" s="2">
        <v>1565.97</v>
      </c>
      <c r="F27" s="2">
        <f>(D27-C27)*(1-$B$5)</f>
        <v>1518.99</v>
      </c>
    </row>
    <row r="28">
      <c r="A28" t="str">
        <v>Organic Fruiting Vegetables 🌶🥒🎃🍅</v>
      </c>
      <c r="B28">
        <v>3410</v>
      </c>
      <c r="C28" s="2">
        <v>14662.21</v>
      </c>
      <c r="D28" s="2">
        <v>18450.87</v>
      </c>
      <c r="E28" s="2">
        <v>3788.66</v>
      </c>
      <c r="F28" s="2">
        <f>(D28-C28)*(1-$B$5)</f>
        <v>3675</v>
      </c>
    </row>
    <row r="29">
      <c r="A29" t="str">
        <v>Organic Vegetables - Leafy Greens 🥬</v>
      </c>
      <c r="B29">
        <v>4601</v>
      </c>
      <c r="C29" s="2">
        <v>17349.6</v>
      </c>
      <c r="D29" s="2">
        <v>22902.24</v>
      </c>
      <c r="E29" s="2">
        <v>5552.64</v>
      </c>
      <c r="F29" s="2">
        <f>(D29-C29)*(1-$B$5)</f>
        <v>5386.06</v>
      </c>
    </row>
    <row r="30">
      <c r="A30" t="str">
        <v>Organic Mushrooms 🍄‍🟫</v>
      </c>
      <c r="B30">
        <v>1685</v>
      </c>
      <c r="C30" s="2">
        <v>9800.02</v>
      </c>
      <c r="D30" s="2">
        <v>13509.88</v>
      </c>
      <c r="E30" s="2">
        <v>3709.86</v>
      </c>
      <c r="F30" s="2">
        <f>(D30-C30)*(1-$B$5)</f>
        <v>3598.56</v>
      </c>
    </row>
    <row r="31">
      <c r="A31" t="str">
        <v>Organic Cruciferous Vegetables🥦</v>
      </c>
      <c r="B31">
        <v>964</v>
      </c>
      <c r="C31" s="2">
        <v>4810.47</v>
      </c>
      <c r="D31" s="2">
        <v>5758.2</v>
      </c>
      <c r="E31" s="2">
        <v>947.73</v>
      </c>
      <c r="F31" s="2">
        <f>(D31-C31)*(1-$B$5)</f>
        <v>919.3</v>
      </c>
    </row>
    <row r="32">
      <c r="A32" t="str">
        <v>Organic Vegetables - Roots 🧅🧄 🥕🥔</v>
      </c>
      <c r="B32">
        <v>770</v>
      </c>
      <c r="C32" s="2">
        <v>3228.4</v>
      </c>
      <c r="D32" s="2">
        <v>3324.3</v>
      </c>
      <c r="E32" s="2">
        <v>95.9</v>
      </c>
      <c r="F32" s="2">
        <f>(D32-C32)*(1-$B$5)</f>
        <v>93.02</v>
      </c>
    </row>
    <row r="33">
      <c r="A33" t="str">
        <v>Organic Vegetables - Herbs 🌿</v>
      </c>
      <c r="B33">
        <v>124</v>
      </c>
      <c r="C33" s="2">
        <v>535.8</v>
      </c>
      <c r="D33" s="2">
        <v>739</v>
      </c>
      <c r="E33" s="2">
        <v>203.2</v>
      </c>
      <c r="F33" s="2">
        <f>(D33-C33)*(1-$B$5)</f>
        <v>197.1</v>
      </c>
    </row>
    <row r="35">
      <c r="A35" t="str">
        <v>SALES CACHE MONTH</v>
      </c>
      <c r="B35" t="str">
        <v>Status</v>
      </c>
      <c r="C35" t="str">
        <v>Imported line count</v>
      </c>
      <c r="D35" t="str">
        <v>Last synced UTC</v>
      </c>
    </row>
    <row r="36">
      <c r="A36" t="str">
        <v>2026-01</v>
      </c>
      <c r="B36" t="str">
        <v>completed</v>
      </c>
      <c r="C36">
        <v>5058</v>
      </c>
      <c r="D36" t="str">
        <v>Thu Aug 20 2026 13:04:47 GMT-0700 (Mountain Standard Time)</v>
      </c>
    </row>
    <row r="37">
      <c r="A37" t="str">
        <v>2026-02</v>
      </c>
      <c r="B37" t="str">
        <v>completed</v>
      </c>
      <c r="C37">
        <v>4054</v>
      </c>
      <c r="D37" t="str">
        <v>Thu Aug 20 2026 13:05:23 GMT-0700 (Mountain Standard Time)</v>
      </c>
    </row>
    <row r="38">
      <c r="A38" t="str">
        <v>2026-03</v>
      </c>
      <c r="B38" t="str">
        <v>completed</v>
      </c>
      <c r="C38">
        <v>4374</v>
      </c>
      <c r="D38" t="str">
        <v>Thu Aug 20 2026 13:05:57 GMT-0700 (Mountain Standard Time)</v>
      </c>
    </row>
    <row r="39">
      <c r="A39" t="str">
        <v>2026-04</v>
      </c>
      <c r="B39" t="str">
        <v>completed</v>
      </c>
      <c r="C39">
        <v>4552</v>
      </c>
      <c r="D39" t="str">
        <v>Thu Aug 20 2026 13:06:36 GMT-0700 (Mountain Standard Time)</v>
      </c>
    </row>
    <row r="40">
      <c r="A40" t="str">
        <v>2026-05</v>
      </c>
      <c r="B40" t="str">
        <v>completed</v>
      </c>
      <c r="C40">
        <v>5536</v>
      </c>
      <c r="D40" t="str">
        <v>Thu Aug 20 2026 13:07:21 GMT-0700 (Mountain Standard Time)</v>
      </c>
    </row>
    <row r="41">
      <c r="A41" t="str">
        <v>2026-06</v>
      </c>
      <c r="B41" t="str">
        <v>completed</v>
      </c>
      <c r="C41">
        <v>5812</v>
      </c>
      <c r="D41" t="str">
        <v>Thu Aug 20 2026 13:08:02 GMT-0700 (Mountain Standard Time)</v>
      </c>
    </row>
    <row r="42">
      <c r="A42" t="str">
        <v>2026-07</v>
      </c>
      <c r="B42" t="str">
        <v>completed</v>
      </c>
      <c r="C42">
        <v>5523</v>
      </c>
      <c r="D42" t="str">
        <v>Mon Aug 31 2026 10:45:10 GMT-0700 (Mountain Standard Time)</v>
      </c>
    </row>
    <row r="43">
      <c r="A43" t="str">
        <v>2026-08</v>
      </c>
      <c r="B43" t="str">
        <v>completed</v>
      </c>
      <c r="C43">
        <v>6757</v>
      </c>
      <c r="D43" t="str">
        <v>Wed Sep 30 2026 10:44:28 GMT-0700 (Mountain Standard Time)</v>
      </c>
    </row>
    <row r="44">
      <c r="A44" t="str">
        <v>2026-09</v>
      </c>
      <c r="B44" t="str">
        <v>completed</v>
      </c>
      <c r="C44">
        <v>7205</v>
      </c>
      <c r="D44" t="str">
        <v>Mon Oct 19 2026 10:44:29 GMT-0700 (Mountain Standard Time)</v>
      </c>
    </row>
    <row r="46">
      <c r="A46" t="str">
        <v>MODEL LIMITS</v>
      </c>
    </row>
    <row r="47">
      <c r="A47" t="str">
        <v>Actual net income</v>
      </c>
      <c r="B47" t="str">
        <v>Enter accounting net income for the same period in B7 to see projected overall net income. Without it, only the change can be estimated.</v>
      </c>
    </row>
    <row r="48">
      <c r="A48" t="str">
        <v>Cost proxy</v>
      </c>
      <c r="B48" t="str">
        <v>The local package base is not an invoice-backed vendor cost; freight, spoilage, packing, labor, taxes, and fixed expenses are not separately measured here.</v>
      </c>
    </row>
    <row r="49">
      <c r="A49" t="str">
        <v>Demand</v>
      </c>
      <c r="B49" t="str">
        <v>Scenarios show 0%, 5%, 10%, and 20% fewer units. Buying-adjusts assumes procurement drops proportionately; fixed-purchases treats unsold units as added loss.</v>
      </c>
    </row>
    <row r="50">
      <c r="A50" t="str">
        <v>Visible versus seasonal</v>
      </c>
      <c r="B50" t="str">
        <v>The all-SKU scenario assumes currently hidden seasonal products return in a comparable season. For near-term impact from visible products, use the visible-only line above.</v>
      </c>
    </row>
    <row r="51">
      <c r="A51" t="str">
        <v>Sales price replay</v>
      </c>
      <c r="B51" t="str">
        <v>Historical revenue may differ from replay because prices, sales, and customer-specific adjustments changed during the period. Compare rows 8–10 before relying on the projection.</v>
      </c>
    </row>
    <row r="52">
      <c r="A52" t="str">
        <v>Product exclusions</v>
      </c>
      <c r="B52" t="str">
        <v>Formula vendors Deck/Hyland/Creamy Cow, memberships, deposits, missing vendors, and customer-price override HOLDs are not repriced by this plan.</v>
      </c>
    </row>
    <row r="53">
      <c r="A53" t="str">
        <v>No mutation</v>
      </c>
      <c r="B53" t="str">
        <v>Generating this workbook reads the catalog and local order cache only. It does not save, audit, or publish prices.</v>
      </c>
    </row>
  </sheetData>
  <ignoredErrors>
    <ignoredError numberStoredAsText="1" sqref="A1:J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 &amp; Agent Steps</vt:lpstr>
      <vt:lpstr>Product Pricing</vt:lpstr>
      <vt:lpstr>Profit 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