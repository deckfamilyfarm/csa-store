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dit markup in H" sheetId="1" r:id="rId1"/>
  </sheets>
  <definedNames>
    <definedName name="_xlnm._FilterDatabase" localSheetId="0">'Edit markup in H'!A5:AE848</definedName>
  </definedNames>
  <calcPr calcMode="auto" fullCalcOnLoad="1" forceFullCalc="1"/>
</workbook>
</file>

<file path=xl/comments1.xml><?xml version="1.0" encoding="utf-8"?>
<comments xmlns="http://schemas.openxmlformats.org/spreadsheetml/2006/main">
  <authors>
    <author>FFCSA review</author>
  </authors>
  <commentList>
    <comment ref="H5" authorId="0">
      <text>
        <t>Editable input. Enter the percent sign, for example 51.2%. G/H are Local Line adjustment percentages over its current base package price, including any existing sale reduction. Some G values are equivalents of dollar adjustments (see AB). They are not necessarily the local formula’s regular markup. Default H = (1 + G) × 1.08 − 1, rounded to two decimal percentage points. Do not add another sale discount to the calculated price. Blank proposal = source-data hold. Deposits remain unchanged.</t>
      </text>
    </comment>
    <comment ref="J5" authorId="0">
      <text>
        <t>Formula: ROUND(Local Line base package price × (1 + proposed markup), 2). Existing sale adjustment is already in the markup. The calculated price is the common proposed selling price for the existing customer lists. This file does not publish prices.</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<sst xmlns="http://schemas.openxmlformats.org/spreadsheetml/2006/main" count="10212" uniqueCount="1239">
  <si>
    <t>EDIT H: enter a markup such as 51.2%. J recalculates the Local Line package price; N recalculates its $/lb equivalent.</t>
  </si>
  <si>
    <t>G/H include any current sale reduction. Do not discount J again. Non-percentage adjustments are labeled in AB; exceptions are in AC.</t>
  </si>
  <si>
    <t>Default proposal: about +8% selling price, rounded to cents. Common price for existing customer lists. Square retains its separate +8% proposal.</t>
  </si>
  <si>
    <t>Review only. Record decisions in Q and notes in R. Deposits unchanged; memberships excluded. Prices are the October 1 snapshot.</t>
  </si>
  <si>
    <t>Local product ID</t>
  </si>
  <si>
    <t>Local Line product ID</t>
  </si>
  <si>
    <t>Product</t>
  </si>
  <si>
    <t>Vendor</t>
  </si>
  <si>
    <t>Package</t>
  </si>
  <si>
    <t>LL base package price</t>
  </si>
  <si>
    <t>CURRENT LL markup %</t>
  </si>
  <si>
    <t>PROPOSED LL markup % — EDIT</t>
  </si>
  <si>
    <t>CURRENT LL package price</t>
  </si>
  <si>
    <t>CALCULATED LL package price</t>
  </si>
  <si>
    <t>Selling-price change %</t>
  </si>
  <si>
    <t>Current sale — retain</t>
  </si>
  <si>
    <t>CURRENT LL $/lb</t>
  </si>
  <si>
    <t>CALCULATED LL $/lb</t>
  </si>
  <si>
    <t>CURRENT Square $/lb</t>
  </si>
  <si>
    <t>PROPOSED Square $/lb (+8%)</t>
  </si>
  <si>
    <t>Your decision</t>
  </si>
  <si>
    <t>Your notes</t>
  </si>
  <si>
    <t>Local package ID</t>
  </si>
  <si>
    <t>Local Line package ID</t>
  </si>
  <si>
    <t>Average package weight (lb)</t>
  </si>
  <si>
    <t>CURRENT Square original price</t>
  </si>
  <si>
    <t>PROPOSED Square original price (+8%)</t>
  </si>
  <si>
    <t>Square pricing basis</t>
  </si>
  <si>
    <t>Square variation ID</t>
  </si>
  <si>
    <t>CURRENT LL regular price</t>
  </si>
  <si>
    <t>CALCULATED LL regular price</t>
  </si>
  <si>
    <t>Current LL adjustment method</t>
  </si>
  <si>
    <t>Price / mapping notes</t>
  </si>
  <si>
    <t>Visible now</t>
  </si>
  <si>
    <t>Prices checked at (UTC)</t>
  </si>
  <si>
    <t>Blackberry Herbalism Kombucha</t>
  </si>
  <si>
    <t>BNF Kombucha and Jun</t>
  </si>
  <si>
    <t>16 fl. oz</t>
  </si>
  <si>
    <t>None</t>
  </si>
  <si>
    <t/>
  </si>
  <si>
    <t>Review</t>
  </si>
  <si>
    <t>No approved Square match</t>
  </si>
  <si>
    <t>Percentage (actual Local Line setting)</t>
  </si>
  <si>
    <t>Common proposed price for existing customer lists, including SNAP; No approved Square match; Square price left blank</t>
  </si>
  <si>
    <t>Yes</t>
  </si>
  <si>
    <t>LL 2026-10-01T17:03:29.099Z; Square 2026-10-01T17:01:23.965Z</t>
  </si>
  <si>
    <t>Chai Cider</t>
  </si>
  <si>
    <t>16 0z</t>
  </si>
  <si>
    <t>No</t>
  </si>
  <si>
    <t>Ginger Turmeric Jun</t>
  </si>
  <si>
    <t>Ginger Zen Kombucha</t>
  </si>
  <si>
    <t>Grape Lavender Kombucha</t>
  </si>
  <si>
    <t>Hibiscus Mint Yerbe Mate Kombucha</t>
  </si>
  <si>
    <t>16. fl oz</t>
  </si>
  <si>
    <t>Mango Marigold Kombucha</t>
  </si>
  <si>
    <t>Moonfruit Yerbe Mate Kombucha</t>
  </si>
  <si>
    <t>Oregon Blueberry Kombucha</t>
  </si>
  <si>
    <t>Peach Rose Kombucha</t>
  </si>
  <si>
    <t>Pear Jun</t>
  </si>
  <si>
    <t>Pomegranate Cardamom Kombucha</t>
  </si>
  <si>
    <t>Raspberry Reishi Jun</t>
  </si>
  <si>
    <t>Skullcap Lemon Yerbe Mate Kombucha</t>
  </si>
  <si>
    <t>Strawberry Mint Kombucha</t>
  </si>
  <si>
    <t>ea</t>
  </si>
  <si>
    <t>Sugar Plum Kombucha</t>
  </si>
  <si>
    <t>Brown Teff Flour</t>
  </si>
  <si>
    <t>Camas Country Mill</t>
  </si>
  <si>
    <t>3 lbs</t>
  </si>
  <si>
    <t>Camas Pizza Blend</t>
  </si>
  <si>
    <t>4 lbs</t>
  </si>
  <si>
    <t>Flax Seed</t>
  </si>
  <si>
    <t>3 lb. bag</t>
  </si>
  <si>
    <t>Garbanzo Beans/ Chickpeas, Organic</t>
  </si>
  <si>
    <t>Holly's Dog Biscuit Mix</t>
  </si>
  <si>
    <t>3 lb bag</t>
  </si>
  <si>
    <t>Oregon Wild Rice</t>
  </si>
  <si>
    <t>16 oz</t>
  </si>
  <si>
    <t>Organic 7-Grain Cereal</t>
  </si>
  <si>
    <t>Organic All Purpose Low Gluten Flour</t>
  </si>
  <si>
    <t>Organic Blue Cornmeal</t>
  </si>
  <si>
    <t>Organic Buckwheat Flour</t>
  </si>
  <si>
    <t>Organic Corn Flour</t>
  </si>
  <si>
    <t>2.5 lbs</t>
  </si>
  <si>
    <t>Organic Oat Flakes</t>
  </si>
  <si>
    <t>Organic Sonora Soft White Wheat Flour</t>
  </si>
  <si>
    <t>Organic Spelt Flour</t>
  </si>
  <si>
    <t>2 lb. Bag</t>
  </si>
  <si>
    <t>Pardina Brown Lentils</t>
  </si>
  <si>
    <t>Sues Soup Mix</t>
  </si>
  <si>
    <t>Three Sisters Porridge</t>
  </si>
  <si>
    <t>Austrian Cresent Fingerling Potatoes</t>
  </si>
  <si>
    <t>Camas Swale Farm</t>
  </si>
  <si>
    <t>lb</t>
  </si>
  <si>
    <t>Baby Sweet Onion</t>
  </si>
  <si>
    <t>bunch</t>
  </si>
  <si>
    <t>Bi-Color Corn</t>
  </si>
  <si>
    <t>each</t>
  </si>
  <si>
    <t>Bok choi raab-</t>
  </si>
  <si>
    <t>bu</t>
  </si>
  <si>
    <t>Broccoli</t>
  </si>
  <si>
    <t>1 lb</t>
  </si>
  <si>
    <t>Brussel Sprouts on the stalk</t>
  </si>
  <si>
    <t>Cauliflower</t>
  </si>
  <si>
    <t>Celery</t>
  </si>
  <si>
    <t>Cherry Belle Radish</t>
  </si>
  <si>
    <t>Chioggia Beets</t>
  </si>
  <si>
    <t>1 Bunch</t>
  </si>
  <si>
    <t>Cilantro</t>
  </si>
  <si>
    <t>Collard Greens</t>
  </si>
  <si>
    <t>Cone Cabbage</t>
  </si>
  <si>
    <t>Dill</t>
  </si>
  <si>
    <t>Dried and cured Inchellium Garlic</t>
  </si>
  <si>
    <t>Fresh Red Onion</t>
  </si>
  <si>
    <t>pound</t>
  </si>
  <si>
    <t>Fresh Sweet Onion</t>
  </si>
  <si>
    <t>Fresno Peppers</t>
  </si>
  <si>
    <t>Common proposed price for existing customer lists, including SNAP; Current list prices range $7.00–$7.75; baseline is Herd Share Members; Local calculation differs from Local Line; No approved Square match; Square price left blank</t>
  </si>
  <si>
    <t>Garlic Scapes</t>
  </si>
  <si>
    <t>Green Bell Pepper</t>
  </si>
  <si>
    <t>Green garlic</t>
  </si>
  <si>
    <t>Green Kabocha</t>
  </si>
  <si>
    <t>Green Scallions</t>
  </si>
  <si>
    <t>Green Zucchini</t>
  </si>
  <si>
    <t>Ho mi Zi (asian mustard heads)</t>
  </si>
  <si>
    <t>Honeynut squash</t>
  </si>
  <si>
    <t>Honeynut Squash</t>
  </si>
  <si>
    <t>Hot habanero</t>
  </si>
  <si>
    <t>Italian (Dino) Kale</t>
  </si>
  <si>
    <t>bu.</t>
  </si>
  <si>
    <t>Jimmy Nardello Peppers</t>
  </si>
  <si>
    <t>Mild habanero</t>
  </si>
  <si>
    <t>Natsu Cocoa watermelon</t>
  </si>
  <si>
    <t>Orange Carrots</t>
  </si>
  <si>
    <t>1 bunch</t>
  </si>
  <si>
    <t>Common proposed price for existing customer lists, including SNAP; Local calculation differs from Local Line; No approved Square match; Square price left blank</t>
  </si>
  <si>
    <t>Padron Peppers</t>
  </si>
  <si>
    <t>1 pt</t>
  </si>
  <si>
    <t>Parsley</t>
  </si>
  <si>
    <t>Pickling Cucumber</t>
  </si>
  <si>
    <t>Purple curly kale</t>
  </si>
  <si>
    <t>Rainbow Carrots</t>
  </si>
  <si>
    <t>Rainbow Chard</t>
  </si>
  <si>
    <t>Red Beets</t>
  </si>
  <si>
    <t>Red Bell Pepper</t>
  </si>
  <si>
    <t>Red Bell Peppers</t>
  </si>
  <si>
    <t>Romanesco</t>
  </si>
  <si>
    <t>Salanova Lettuce Mix</t>
  </si>
  <si>
    <t>1/2 lb bag</t>
  </si>
  <si>
    <t>Santa Fe Peppers</t>
  </si>
  <si>
    <t>Serrano pepper</t>
  </si>
  <si>
    <t>Shishito Frying Pepper</t>
  </si>
  <si>
    <t>Slicer Cucumbers</t>
  </si>
  <si>
    <t>Sugar Snap Peas</t>
  </si>
  <si>
    <t>1/2 lb</t>
  </si>
  <si>
    <t>Sweet Italian Peppers</t>
  </si>
  <si>
    <t>Swiss Chard</t>
  </si>
  <si>
    <t>Tropea onion</t>
  </si>
  <si>
    <t>Catalan Paprika-Rubbed Cheese, 4.8-5.8 oz</t>
  </si>
  <si>
    <t>Creamy Cow, LLC</t>
  </si>
  <si>
    <t>4.8-5.8 oz</t>
  </si>
  <si>
    <t>Catalan Paprika-Rubbed Cheese, 5.9-6.9 oz</t>
  </si>
  <si>
    <t>5.9-6.9 oz</t>
  </si>
  <si>
    <t>Catalan Paprika-Rubbed Cheese, 7-8 oz</t>
  </si>
  <si>
    <t>7-8 oz</t>
  </si>
  <si>
    <t>Creamy Cow (Raw Dairy) Add On</t>
  </si>
  <si>
    <t>Herd Share</t>
  </si>
  <si>
    <t>Hold</t>
  </si>
  <si>
    <t>Unavailable</t>
  </si>
  <si>
    <t>No existing customer-list price; no proposed Local Line change; No approved Square match; Square price left blank</t>
  </si>
  <si>
    <t>Gogo Gouda Cheese, 4 Month Aged, 4.8-5.8 oz</t>
  </si>
  <si>
    <t>4.8-5.8oz</t>
  </si>
  <si>
    <t>Gogo Gouda Cheese, 4 Month Aged, 5.9-6.9 oz</t>
  </si>
  <si>
    <t>5.9 -6.9 oz</t>
  </si>
  <si>
    <t>Gogo Gouda Cheese, 4 Month Aged, 7.0-8.0 oz</t>
  </si>
  <si>
    <t>7.0-8.0 oz</t>
  </si>
  <si>
    <t>Heidi of the Hills Cheese, 18 Month Aged,  4.8-5.8 oz</t>
  </si>
  <si>
    <t>Heidi of the Hills Cheese, 18 Month Aged,  5.9-6.9 oz</t>
  </si>
  <si>
    <t>Heidi of the Hills Cheese, 18 Month Aged, 7-8 oz</t>
  </si>
  <si>
    <t>7-8oz</t>
  </si>
  <si>
    <t>Henni Penni Hispanico Cheese, 4 Month Aged,  5.9-6.9 oz</t>
  </si>
  <si>
    <t>Henni Penni Hispanico Cheese, 4 Month Aged,  7-8 oz</t>
  </si>
  <si>
    <t>Henni Penni Hispanico Cheese, 4 Month Aged, 4.8-5.8 oz</t>
  </si>
  <si>
    <t>Henni Penni Hispanico Special 18 month Reserve, 4.8-5.8 oz</t>
  </si>
  <si>
    <t>Henni Penni Hispanico Special 18 month Reserve, 5.9-6.9 oz</t>
  </si>
  <si>
    <t>Henni Penni Hispanico Special 18 month Reserve, 7-8 oz</t>
  </si>
  <si>
    <t>Hestia Feta Cheese (4.8–5.8 oz)</t>
  </si>
  <si>
    <t>4.8–5.8 oz</t>
  </si>
  <si>
    <t>Hestia Feta Cheese (5.9–6.9 oz)</t>
  </si>
  <si>
    <t>5.9–6.9 oz</t>
  </si>
  <si>
    <t>Live Culture Yogurt, 1 quart</t>
  </si>
  <si>
    <t>1 quart</t>
  </si>
  <si>
    <t>Live Culture Yogurt, 8oz</t>
  </si>
  <si>
    <t>8 oz</t>
  </si>
  <si>
    <t>Live Culture Yogurt, glass jar 1 pint</t>
  </si>
  <si>
    <t>1 pint</t>
  </si>
  <si>
    <t>Lucianna Toma Rustica Cheese, 4 Month Aged, 4.8-5.8 oz</t>
  </si>
  <si>
    <t>Lucianna Toma Rustica Cheese, 4 Month Aged, 5.9-6.9 oz</t>
  </si>
  <si>
    <t>5.9-6.9oz</t>
  </si>
  <si>
    <t>Lucianna Toma Rustica Cheese, 4 Month Aged, 7-8 oz</t>
  </si>
  <si>
    <t>Ophelia Asiago Cheese  - Special 12 month Aged, 5.9-6.9 oz</t>
  </si>
  <si>
    <t>5.9 -6.9oz</t>
  </si>
  <si>
    <t>Ophelia Asiago Cheese  - Special 12 month Aged, 7-8 oz</t>
  </si>
  <si>
    <t>Ophelia Asiago Cheese - Special 12 month Aged, 4.8-5.8 oz</t>
  </si>
  <si>
    <t>Ophelia Asiago Cheese, 4 Month Aged, 4.8-5.8 oz</t>
  </si>
  <si>
    <t>Ophelia Asiago Cheese, 4 Month Aged, 5.9-6.9 oz</t>
  </si>
  <si>
    <t>Ophelia Asiago Cheese, 4 Month Aged, 7-8 oz</t>
  </si>
  <si>
    <t>Raw A2/A2 Milk</t>
  </si>
  <si>
    <t>1/2 gallon</t>
  </si>
  <si>
    <t>Raw Cultured Butter</t>
  </si>
  <si>
    <t>0.5 lbs</t>
  </si>
  <si>
    <t>Raw Cultured Buttermilk</t>
  </si>
  <si>
    <t>Raw Farmer's Cheese</t>
  </si>
  <si>
    <t>12 oz</t>
  </si>
  <si>
    <t>Raw Fresh Sweet Cream</t>
  </si>
  <si>
    <t>Raw Fresh Whole Milk, 1/2 gallon</t>
  </si>
  <si>
    <t>Raw Fresh Whole Milk, 1/4 gallon</t>
  </si>
  <si>
    <t>1/4 gallon</t>
  </si>
  <si>
    <t>Raw Sweet Cream Butter</t>
  </si>
  <si>
    <t>Raw Whey</t>
  </si>
  <si>
    <t>Shredded Alpine Cheese Blend, 6oz</t>
  </si>
  <si>
    <t>6 oz bag</t>
  </si>
  <si>
    <t>Sour Cream</t>
  </si>
  <si>
    <t>package</t>
  </si>
  <si>
    <t>Creole Masala Spice Blend</t>
  </si>
  <si>
    <t>Creole Me Up</t>
  </si>
  <si>
    <t>3 oz jar</t>
  </si>
  <si>
    <t>The "Real Sassy" Creole Spice Blend</t>
  </si>
  <si>
    <t>The "Wanna Be Sassy" Creole Spice Blend</t>
  </si>
  <si>
    <t>1/2 Pork October Deposit</t>
  </si>
  <si>
    <t>Deck Family Farm</t>
  </si>
  <si>
    <t>No change</t>
  </si>
  <si>
    <t>No adjustment (0%)</t>
  </si>
  <si>
    <t>Deposit: no change; retain zero markup; No approved Square match; Square price left blank</t>
  </si>
  <si>
    <t>1/2 Pork Side July Deposit (PickUp After July 20)</t>
  </si>
  <si>
    <t>Fixed price $200.00; equivalent % shown</t>
  </si>
  <si>
    <t>Deposit: no change; retain zero markup; No approved Square match; Square price left blank; Current percentage is equivalent, not a stored percentage setting; review conversion from the existing dollar adjustment.</t>
  </si>
  <si>
    <t>1/4 Beef Side July Deposit</t>
  </si>
  <si>
    <t>1/4 Beef Side October Deposit</t>
  </si>
  <si>
    <t>Baby Back Ribs</t>
  </si>
  <si>
    <t>0.90 - 1.50 lbs</t>
  </si>
  <si>
    <t>Per lb — confirmed Square unit</t>
  </si>
  <si>
    <t>LISW32VK23KXNB33ENFT477O</t>
  </si>
  <si>
    <t>Common proposed price for existing customer lists, including SNAP</t>
  </si>
  <si>
    <t>Bacon Ends &amp; Pieces, Pork</t>
  </si>
  <si>
    <t>Per item — converted using mapped package weight</t>
  </si>
  <si>
    <t>S3VRZSN4RMWEZYGOJPBD7E7A</t>
  </si>
  <si>
    <t>Common proposed price for existing customer lists, including SNAP; Square per-pound comparison uses the mapped package weight; verify that weight.</t>
  </si>
  <si>
    <t>Bacon, Pork</t>
  </si>
  <si>
    <t>LLQPAZZFUS4TG46PVVOW4P6T</t>
  </si>
  <si>
    <t>Bavarian Style Grazier's Sausage</t>
  </si>
  <si>
    <t>Per item / package; no lb equivalent</t>
  </si>
  <si>
    <t>7NG2FP6SV5D3EJVLG4FEN34Q</t>
  </si>
  <si>
    <t>Dollar add-on $3.56; equivalent % shown</t>
  </si>
  <si>
    <t>Common proposed price for existing customer lists, including SNAP; Current percentage is equivalent, not a stored percentage setting; review conversion from the existing dollar adjustment.</t>
  </si>
  <si>
    <t>Bavette Steak</t>
  </si>
  <si>
    <t>0.9 - 1.6 lbs</t>
  </si>
  <si>
    <t>HY4IZXY6GM4AI6EC66ESAZK4</t>
  </si>
  <si>
    <t>Beef Back Ribs</t>
  </si>
  <si>
    <t>2.00 - 3.00 lbs</t>
  </si>
  <si>
    <t>ESFETJY6J3E3YNPYEUT3P4BJ</t>
  </si>
  <si>
    <t>Beef Bones</t>
  </si>
  <si>
    <t>3.00 - 5.00 lbs</t>
  </si>
  <si>
    <t>FO4U2WMBU6CNP3M4TJVGSCXJ</t>
  </si>
  <si>
    <t>Beef Flat Iron Steak</t>
  </si>
  <si>
    <t>0.70 - 1.10 lbs</t>
  </si>
  <si>
    <t>B6UDTUDPUQKV2THQ5PFPC6SZ</t>
  </si>
  <si>
    <t>Beef Heart</t>
  </si>
  <si>
    <t>2.50 - 3.5 lbs</t>
  </si>
  <si>
    <t>VMS35LF22K4ZIIQLENRZ562Y</t>
  </si>
  <si>
    <t>Beef Kidney</t>
  </si>
  <si>
    <t>0.80 - 1.00 lbs</t>
  </si>
  <si>
    <t>YZD2KCNWUJOWGWKFT7DCG42C</t>
  </si>
  <si>
    <t>Beef Liver</t>
  </si>
  <si>
    <t>0.90 - 1.30 lbs</t>
  </si>
  <si>
    <t>Per lb — local retail unit (Square unit unset)</t>
  </si>
  <si>
    <t>DPHMZXG5A3S4YOMA3V3FICUI</t>
  </si>
  <si>
    <t>Common proposed price for existing customer lists, including SNAP; Square pound basis inferred from local retail unit; Square measurement unit is unset.</t>
  </si>
  <si>
    <t>Beef Marrow Bones</t>
  </si>
  <si>
    <t>PJUREPBRNPEO4OGFFYYA7Q7Z</t>
  </si>
  <si>
    <t>Beef Oxtail</t>
  </si>
  <si>
    <t>1.40 - 1.90 lbs</t>
  </si>
  <si>
    <t>HKHJAL5T7IGLNBNP2SHGWFET</t>
  </si>
  <si>
    <t>Beef Shank Osso Buco</t>
  </si>
  <si>
    <t>2.10 - 2.40 lbs</t>
  </si>
  <si>
    <t>36KI54KEJJZP76I7I2AAQASZ</t>
  </si>
  <si>
    <t>Beef Short Rib</t>
  </si>
  <si>
    <t>1.30 - 2.10 lbs</t>
  </si>
  <si>
    <t>73CWJJUMSGTLRLWKCHTYZNCV</t>
  </si>
  <si>
    <t>Beef Stew Meat</t>
  </si>
  <si>
    <t>1.1 - 1.3 lbs</t>
  </si>
  <si>
    <t>VINTQXAU46GLF3MVILEBL2GN</t>
  </si>
  <si>
    <t>Beef Tenderloin</t>
  </si>
  <si>
    <t>0.40 - 0.70 lbs</t>
  </si>
  <si>
    <t>QGDFUX4RZYYUBRYCXCW2ZW4O</t>
  </si>
  <si>
    <t>Beef Tongue</t>
  </si>
  <si>
    <t>2.50 - 3.00 lbs</t>
  </si>
  <si>
    <t>XLUIITLT42YYIEAIIQMM43SU</t>
  </si>
  <si>
    <t>Beef Tri-Tip</t>
  </si>
  <si>
    <t>1.90 - 2.20 lbs</t>
  </si>
  <si>
    <t>MG34WSHAPYGTK5C2F7WJY7HH</t>
  </si>
  <si>
    <t>Bratwurst</t>
  </si>
  <si>
    <t>JL4WOYSE5LX75MYTNGRJEU24</t>
  </si>
  <si>
    <t>Brisket, Large</t>
  </si>
  <si>
    <t>Large, 4.00 - 5.00 lbs</t>
  </si>
  <si>
    <t>25JLU7YR4FTI4NFNKZXTZKY6</t>
  </si>
  <si>
    <t>Brisket, Medium</t>
  </si>
  <si>
    <t>Medium, 3.00 - 3.99 lbs</t>
  </si>
  <si>
    <t>SLLB3I6MS6L2ENNMOZZ3X3QK</t>
  </si>
  <si>
    <t>Brisket, Small</t>
  </si>
  <si>
    <t>Small, 2.30 - 2.99 lbs</t>
  </si>
  <si>
    <t>Broad Breasted White Thanksgiving Turkeys, Medium</t>
  </si>
  <si>
    <t>12.01 - 14.00  lbs</t>
  </si>
  <si>
    <t>ACSBCUQ54CQ6XNUJQYH6VREQ</t>
  </si>
  <si>
    <t>Fixed price $103.16; equivalent % shown</t>
  </si>
  <si>
    <t>Common proposed price for existing customer lists, including SNAP; Current percentage is equivalent, not a stored percentage setting; review conversion from the existing dollar adjustment.; Square per-pound comparison uses the mapped package weight; verify that weight.</t>
  </si>
  <si>
    <t>Broad Breasted White Turkeys, Large</t>
  </si>
  <si>
    <t>14.01 - 16.00 lbs</t>
  </si>
  <si>
    <t>Fixed price $116.61; equivalent % shown</t>
  </si>
  <si>
    <t>Common proposed price for existing customer lists, including SNAP; No approved Square match; Square price left blank; Current percentage is equivalent, not a stored percentage setting; review conversion from the existing dollar adjustment.</t>
  </si>
  <si>
    <t>Broad Breasted White Turkeys, Small</t>
  </si>
  <si>
    <t>9 - 12  lbs</t>
  </si>
  <si>
    <t>Fixed price $85.21; equivalent % shown</t>
  </si>
  <si>
    <t>Chicken Feet, 1lb bag</t>
  </si>
  <si>
    <t>1 lb bag</t>
  </si>
  <si>
    <t>Chicken Gizzards</t>
  </si>
  <si>
    <t>1/2 lb pk</t>
  </si>
  <si>
    <t>Chicken Hearts</t>
  </si>
  <si>
    <t>Chicken Liver</t>
  </si>
  <si>
    <t>Chicken Part, Breast, Bone-In</t>
  </si>
  <si>
    <t>1.30 - 1.70 lbs</t>
  </si>
  <si>
    <t>GWUVAKYUHDRBOBPDJH3UHMYW</t>
  </si>
  <si>
    <t>Chicken Part, Hindquarter</t>
  </si>
  <si>
    <t>1.00 - 1.50 lbs</t>
  </si>
  <si>
    <t>Chicken Part, Wings</t>
  </si>
  <si>
    <t>1.50 - 2.00</t>
  </si>
  <si>
    <t>Chuck roast</t>
  </si>
  <si>
    <t>2.30 - 2.90 lbs</t>
  </si>
  <si>
    <t>7JHSSGCRX4A6VQ5CHHLSB7J5</t>
  </si>
  <si>
    <t>Cornish Roasting Chicken, Extra Large</t>
  </si>
  <si>
    <t>Extra Large, 5.00 - 6.00 lbs</t>
  </si>
  <si>
    <t>10% — retained</t>
  </si>
  <si>
    <t>Common proposed price for existing customer lists, including SNAP; Local calculation differs from Local Line; Retain active Local Line sale; local sale flag differs; No approved Square match; Square price left blank; The Local Line markup already includes the sale reduction. Do not discount the calculated package price again. Retain each list’s sale flag and scale its valid regular price by the selling-price change.</t>
  </si>
  <si>
    <t>Cornish Roasting Chicken, Large</t>
  </si>
  <si>
    <t>Large, 4.21 - 4.99 lbs</t>
  </si>
  <si>
    <t>Cornish Roasting Chicken, Medium</t>
  </si>
  <si>
    <t>Medium, 3.20 - 4.20 lbs</t>
  </si>
  <si>
    <t>Common proposed price for existing customer lists, including SNAP; No approved Square match; Square price left blank; The Local Line markup already includes the sale reduction. Do not discount the calculated package price again. Retain each list’s sale flag and scale its valid regular price by the selling-price change.</t>
  </si>
  <si>
    <t>Cornish Roasting Chicken, Small</t>
  </si>
  <si>
    <t>Small, 2.50 - 3.19 lbs</t>
  </si>
  <si>
    <t>Country Sausage, Bulk</t>
  </si>
  <si>
    <t>SM7UBX6YKK2EZJJFACUYR5P6</t>
  </si>
  <si>
    <t>CRX Drumsticks</t>
  </si>
  <si>
    <t>CRX Thighs</t>
  </si>
  <si>
    <t>Flank Steak</t>
  </si>
  <si>
    <t>1.10 - 1.40 lbs</t>
  </si>
  <si>
    <t>CH2P36B35NEX5GQB24N6TQ6Y</t>
  </si>
  <si>
    <t>Fresh Garlic Sausage Links</t>
  </si>
  <si>
    <t>Ground Lamb</t>
  </si>
  <si>
    <t>1.00 lbs</t>
  </si>
  <si>
    <t>I4326UJUHXDELAFK7M2BZ4Z6</t>
  </si>
  <si>
    <t>Ground Pork</t>
  </si>
  <si>
    <t>20% — retained</t>
  </si>
  <si>
    <t>ATTBVR3RYMNJXCOHHWZ7LUE7</t>
  </si>
  <si>
    <t>Common proposed price for existing customer lists, including SNAP; The Local Line markup already includes the sale reduction. Do not discount the calculated package price again. Retain each list’s sale flag and scale its valid regular price by the selling-price change.; Square pound basis inferred from local retail unit; Square measurement unit is unset.</t>
  </si>
  <si>
    <t>Hamburger Patties</t>
  </si>
  <si>
    <t>T5CTPJKL4O3BTPFAD4IEBOYY</t>
  </si>
  <si>
    <t>Hanger Steak</t>
  </si>
  <si>
    <t>U2RS4TBUI2S7DJ6NO2O665TI</t>
  </si>
  <si>
    <t>Heritage Thanksgiving Turkey, Small</t>
  </si>
  <si>
    <t>Fixed price $94.19; equivalent % shown</t>
  </si>
  <si>
    <t>Heritage Turkeys, Large</t>
  </si>
  <si>
    <t>14.01 - 16.00  lbs</t>
  </si>
  <si>
    <t>Fixed price $125.58; equivalent % shown</t>
  </si>
  <si>
    <t>Heritage Turkeys, Medium</t>
  </si>
  <si>
    <t>12.01 - 14.00 lbs</t>
  </si>
  <si>
    <t>Fixed price $112.12; equivalent % shown</t>
  </si>
  <si>
    <t>Honey Maple Ham, Ends &amp; Pieces</t>
  </si>
  <si>
    <t>Common proposed price for existing customer lists, including SNAP; Current list prices range $10.76–$12.01; baseline is Herd Share Members; Local calculation differs from Local Line; No approved Square match; Square price left blank</t>
  </si>
  <si>
    <t>Honey Maple Ham, Sliced</t>
  </si>
  <si>
    <t>Honey, Bulk Raw</t>
  </si>
  <si>
    <t>4 gallon</t>
  </si>
  <si>
    <t>Korean Style Beef Ribs</t>
  </si>
  <si>
    <t>1.20 - 1.40 lbs</t>
  </si>
  <si>
    <t>MVFD66GNBFVK6CV4WF46J4JY</t>
  </si>
  <si>
    <t>Lamb Bones</t>
  </si>
  <si>
    <t>GLJBCAFOB4EJTMLFCS5WRPTN</t>
  </si>
  <si>
    <t>Lamb Chops, 2 pack</t>
  </si>
  <si>
    <t>2 pack, 0.70 - 1.10 lbs</t>
  </si>
  <si>
    <t>SBF426S4VJ72E7QUX6ORWUAU</t>
  </si>
  <si>
    <t>Lamb Chops, 4 pack</t>
  </si>
  <si>
    <t>4 pack, 1.1 - 1.50 lbs</t>
  </si>
  <si>
    <t>Lamb Garlic Sausage</t>
  </si>
  <si>
    <t>Lamb Heart</t>
  </si>
  <si>
    <t>2 pack, 0.8 - 1.1 lbs</t>
  </si>
  <si>
    <t>RKGYVDNZTZAFRMSTU24YL4KU</t>
  </si>
  <si>
    <t>Lamb Kabob</t>
  </si>
  <si>
    <t>1.1 - 1.35</t>
  </si>
  <si>
    <t>3XPZAKU4J3TIKCYIMUP43TWZ</t>
  </si>
  <si>
    <t>Lamb Neck Slices</t>
  </si>
  <si>
    <t>1.10 - 1.50 lbs</t>
  </si>
  <si>
    <t>TZTMDSMJTAGOJCQF46SKBXMR</t>
  </si>
  <si>
    <t>Lamb Shank Osso Buco</t>
  </si>
  <si>
    <t>HKPTHCXRUEDJY6C2VGFXW3GJ</t>
  </si>
  <si>
    <t>Lamb Shank, Whole</t>
  </si>
  <si>
    <t>2.00 - 2.50 lbs</t>
  </si>
  <si>
    <t>B3RFRXZ5A7OE2QMW7HARI2KP</t>
  </si>
  <si>
    <t>Lamb Shoulder Roast</t>
  </si>
  <si>
    <t>2.30 - 2.70 lbs</t>
  </si>
  <si>
    <t>7GPYF465GTEEMVHTQLHJIN2Q</t>
  </si>
  <si>
    <t>Lamb Stew</t>
  </si>
  <si>
    <t>0.90 - 1.10 lbs</t>
  </si>
  <si>
    <t>UXP7TNX3XOY2T2HG5MWDTU5A</t>
  </si>
  <si>
    <t>Lamb Sundried Tomato Basil Sausage</t>
  </si>
  <si>
    <t>PCIAN5L2GXDTCDITJYCQPL3S</t>
  </si>
  <si>
    <t>Landjaeger Jerky, 3 pack</t>
  </si>
  <si>
    <t>3 oz</t>
  </si>
  <si>
    <t>TEZ2TYOGPELCZV5Z76SLIUQO</t>
  </si>
  <si>
    <t>Natural Ground Beef</t>
  </si>
  <si>
    <t>1 lbs</t>
  </si>
  <si>
    <t>ZJ5C7CRZQNREBLA2VWZU733H</t>
  </si>
  <si>
    <t>New York Steak</t>
  </si>
  <si>
    <t>0.50 - 0.90 lbs</t>
  </si>
  <si>
    <t>DR6FL7HZECDHPLKVARMFC5ZP</t>
  </si>
  <si>
    <t>Old World Style Hot Dogs</t>
  </si>
  <si>
    <t>Dollar add-on $6.94; equivalent % shown</t>
  </si>
  <si>
    <t>Olympia Provisions Frankfurter</t>
  </si>
  <si>
    <t>VMFVU6NDPXNNERM3NDFILLLQ</t>
  </si>
  <si>
    <t>Olympia Provisions Saucisson D'Arles Salami</t>
  </si>
  <si>
    <t>4.5 oz</t>
  </si>
  <si>
    <t>JRXWL5BZVA7NYHYPW3CF7KDE</t>
  </si>
  <si>
    <t>Olympia Provisions, Dog Treats</t>
  </si>
  <si>
    <t>5 oz</t>
  </si>
  <si>
    <t>7ONA7WTZJVR2U67PQAQ3GHDS</t>
  </si>
  <si>
    <t>Olympia Provisions, Rosette D'Oregon Salami</t>
  </si>
  <si>
    <t>TFCA4G67CDKQ7QANG6E2EUYG</t>
  </si>
  <si>
    <t>Organic Ground Beef</t>
  </si>
  <si>
    <t>6DJNVCZ3SEZG7PYWKJED3HZJ</t>
  </si>
  <si>
    <t>Organic Pasture Raised Chicken Eggs, 1 dozen</t>
  </si>
  <si>
    <t>1 dozen</t>
  </si>
  <si>
    <t>C4BHMDGUH33BFC5C7DTOMRN2</t>
  </si>
  <si>
    <t>Dollar add-on $4.27; equivalent % shown</t>
  </si>
  <si>
    <t>Organic Pasture Raised Chicken Eggs, 1/2 dozen</t>
  </si>
  <si>
    <t>1/2 dozen</t>
  </si>
  <si>
    <t>WMQYKADWBE26JTN7VMEISO5L</t>
  </si>
  <si>
    <t>Dollar add-on $2.49; equivalent % shown</t>
  </si>
  <si>
    <t>Pastrami, Ends &amp; Pieces</t>
  </si>
  <si>
    <t>Pastrami, Sliced</t>
  </si>
  <si>
    <t>HGB7UEJ7Z7FWXTD33M6L3J2Z</t>
  </si>
  <si>
    <t>Peppered Knife Cut Beef Jerky</t>
  </si>
  <si>
    <t>567FGAI43XNCIV55IV2AJWSD</t>
  </si>
  <si>
    <t>Pepperoni stick</t>
  </si>
  <si>
    <t>6 oz</t>
  </si>
  <si>
    <t>YZYUYQR4AIXIY3KRKGCSBKBA</t>
  </si>
  <si>
    <t>Pet Food, Organ Blend</t>
  </si>
  <si>
    <t>U3KGBMTUXU63EPJN6A2CITXP</t>
  </si>
  <si>
    <t>Polish Kielbasa</t>
  </si>
  <si>
    <t>HHOQSQYLPYEQC43R7E77SDNR</t>
  </si>
  <si>
    <t>Pork Bones</t>
  </si>
  <si>
    <t>4Q3SG46WA27GRXGSATR4ZWCY</t>
  </si>
  <si>
    <t>Pork Chop, Bone-in</t>
  </si>
  <si>
    <t>1.20 - 1.50 lbs</t>
  </si>
  <si>
    <t>Pork Chop, Boneless</t>
  </si>
  <si>
    <t>Pork Shank</t>
  </si>
  <si>
    <t>2.40 - 3.10 lbs</t>
  </si>
  <si>
    <t>U6KFVHFNWEC2MTLAJWRHOVMW</t>
  </si>
  <si>
    <t>Pork Shoulder Roast, Large</t>
  </si>
  <si>
    <t>Large, 2.80 - 3.50 lbs</t>
  </si>
  <si>
    <t>NCEKYJ2A7WLQT7NM6CQLV6SV</t>
  </si>
  <si>
    <t>Pork Shoulder Roast, Small</t>
  </si>
  <si>
    <t>Small, 2.00 - 2.79 lbs</t>
  </si>
  <si>
    <t>Pork Spare Ribs</t>
  </si>
  <si>
    <t>CA2YUN42QQ223DUUVGBVMR3G</t>
  </si>
  <si>
    <t>Pork Tenderloin</t>
  </si>
  <si>
    <t>0.80 - 1.30 lbs</t>
  </si>
  <si>
    <t>UH3V2ZZSJBNSILFQ3OSCEFPU</t>
  </si>
  <si>
    <t>Rack of Lamb</t>
  </si>
  <si>
    <t>2.50 - 3.10 lbs</t>
  </si>
  <si>
    <t>LBER4XSN4A4IEU5ERQNX6ZUE</t>
  </si>
  <si>
    <t>Raw Honey, 1 pint</t>
  </si>
  <si>
    <t>VBA7QNBQN4DAJEBMIWY5BZ4I</t>
  </si>
  <si>
    <t>Raw Honey, 1 quart</t>
  </si>
  <si>
    <t>WJG7GD5EUZ67ATJWK7QEQCAV</t>
  </si>
  <si>
    <t>Raw Honey, 1/2 pint</t>
  </si>
  <si>
    <t>1/2 pint</t>
  </si>
  <si>
    <t>5L6WZFWO6HESVITXZYJELIQJ</t>
  </si>
  <si>
    <t>Raw Walnuts, 1 lb</t>
  </si>
  <si>
    <t>Raw Walnuts, 1/2 lb</t>
  </si>
  <si>
    <t>ISXY3B7BIMVUUMYLEDGMEOX5</t>
  </si>
  <si>
    <t>Red Ranger Roasting Chicken, Large</t>
  </si>
  <si>
    <t>Large, 5.01 - 5.70 lbs</t>
  </si>
  <si>
    <t>4BSDTHCNQU27C42FET6ITBH2</t>
  </si>
  <si>
    <t>Red Ranger Roasting Chicken, Medium</t>
  </si>
  <si>
    <t>Medium, 4.01 - 5.00 lbs</t>
  </si>
  <si>
    <t>Red Ranger Roasting Chicken, Small</t>
  </si>
  <si>
    <t>Small, 3.00 - 4.00 lbs</t>
  </si>
  <si>
    <t>Ribeye Steak</t>
  </si>
  <si>
    <t>0.80 - 1.10 lbs</t>
  </si>
  <si>
    <t>XNUP7RT3X5TIKGXT6Z76HU2H</t>
  </si>
  <si>
    <t>Roast Beef, Ends &amp; Pieces</t>
  </si>
  <si>
    <t>Roast Beef, Sliced</t>
  </si>
  <si>
    <t>NXIETAVWPT7OOSV3NRW2P5N2</t>
  </si>
  <si>
    <t>Sage &amp; Sea Salt Sausage</t>
  </si>
  <si>
    <t>22VTXVWPWRUOGSAMRP3FBFSD</t>
  </si>
  <si>
    <t>Common proposed price for existing customer lists, including SNAP; The Local Line markup already includes the sale reduction. Do not discount the calculated package price again. Retain each list’s sale flag and scale its valid regular price by the selling-price change.; Square per-pound comparison uses the mapped package weight; verify that weight.</t>
  </si>
  <si>
    <t>Skirt Steak, Large</t>
  </si>
  <si>
    <t>Large, .80 - 1.20 lbs</t>
  </si>
  <si>
    <t>TVIOJDKULJFKZ7DC75ADRLML</t>
  </si>
  <si>
    <t>Skirt Steak, Small</t>
  </si>
  <si>
    <t>Small, 0.40 - 0.79 lbs</t>
  </si>
  <si>
    <t>Small Organic Pasture Raised Chicken Eggs</t>
  </si>
  <si>
    <t>Smoked Pork Hocks -Skin-on and Smoked</t>
  </si>
  <si>
    <t>0.8 - 1.2 lbs</t>
  </si>
  <si>
    <t>Smoked Pork Shanks - Skin-on and Smoked</t>
  </si>
  <si>
    <t>2 - 2.5 lbs</t>
  </si>
  <si>
    <t>HSN75FILHGFLQGROEUIIC2XC</t>
  </si>
  <si>
    <t>Stewing Hen</t>
  </si>
  <si>
    <t>2 - 3 lbs</t>
  </si>
  <si>
    <t>42F457CBYE46V4266HXQBCFB</t>
  </si>
  <si>
    <t>Summer Sausage</t>
  </si>
  <si>
    <t>634VPLABW35HBLQMFSCMU6HA</t>
  </si>
  <si>
    <t>Sweet Italian Sausage Links</t>
  </si>
  <si>
    <t>GG3UTPG3X2GJ2J2RCRGYBMMQ</t>
  </si>
  <si>
    <t>Tamari Pressed Beef Jerky</t>
  </si>
  <si>
    <t>BU6OJJKIFXVCCVFJMKXFANFA</t>
  </si>
  <si>
    <t>Tamari Pressed Beef Jerky - 12 oz</t>
  </si>
  <si>
    <t>XRQIVJAFVFBVGELPBSVCYIJ4</t>
  </si>
  <si>
    <t>Teres Major Steak</t>
  </si>
  <si>
    <t>QGGOCDMYYFFICWGSUMGZUQNP</t>
  </si>
  <si>
    <t>Top Sirloin Steak</t>
  </si>
  <si>
    <t>1.30 - 1.60 lbs</t>
  </si>
  <si>
    <t>JZ7GSDAEMS6X7ENYGAG3MO2Z</t>
  </si>
  <si>
    <t>Turkey Feet</t>
  </si>
  <si>
    <t>2 lb bag</t>
  </si>
  <si>
    <t>Turkey Gizzards</t>
  </si>
  <si>
    <t>ea. 1/2 lb.</t>
  </si>
  <si>
    <t>Fixed price $22.37; equivalent % shown</t>
  </si>
  <si>
    <t>Turkey Liver</t>
  </si>
  <si>
    <t>Fixed price $13.46; equivalent % shown</t>
  </si>
  <si>
    <t>Unrendered Beef Tallow</t>
  </si>
  <si>
    <t>2.00 - 3.70 lbs</t>
  </si>
  <si>
    <t>Whole Lamb October Deposit</t>
  </si>
  <si>
    <t>Blueberry Maple Sausage Links</t>
  </si>
  <si>
    <t>Deck Family Farm's Hyland Artisinal Meats</t>
  </si>
  <si>
    <t>4 links/ pack 14 oz pack</t>
  </si>
  <si>
    <t>Bulk English Breakfast Sausage</t>
  </si>
  <si>
    <t>GVDPMOIBYDM7FPJUH6PKQPT2</t>
  </si>
  <si>
    <t>Bulk Farm Made Chorizo Sausage</t>
  </si>
  <si>
    <t>C6SVDIWSCNJKRFIFD6XM2RQF</t>
  </si>
  <si>
    <t>Bulk Hot Italian Sausage</t>
  </si>
  <si>
    <t>Bulk Thai Curry Sausage</t>
  </si>
  <si>
    <t>LF5N3PXAP6GF6SPZA5R3RC2Z</t>
  </si>
  <si>
    <t>Cajun Chaurice Sausage Links</t>
  </si>
  <si>
    <t>WBDNBYBMRDK55JR6NCQG6FGD</t>
  </si>
  <si>
    <t>Chorizo Verde</t>
  </si>
  <si>
    <t>TKXIYOEX25R4SBDAH2QHNCXK</t>
  </si>
  <si>
    <t>Classic Beef Broth</t>
  </si>
  <si>
    <t>7LHBXGXLCLG3OWB2BHSGAJUT</t>
  </si>
  <si>
    <t>Classic Chicken Broth</t>
  </si>
  <si>
    <t>MIJBFOZ4H65KQBLDMIR4KMJW</t>
  </si>
  <si>
    <t>Dollar add-on $5.16; equivalent % shown</t>
  </si>
  <si>
    <t>Classic Meatballs</t>
  </si>
  <si>
    <t>12oz/13 Meatballs/Pack</t>
  </si>
  <si>
    <t>Classic Pork Broth</t>
  </si>
  <si>
    <t>MJNI7UO6UHP7E4UPVVAAJFUT</t>
  </si>
  <si>
    <t>TCNUAREBJXQELVW3ODJGAW7W</t>
  </si>
  <si>
    <t>Classic Turkey Broth</t>
  </si>
  <si>
    <t>English Banger Sausage Links</t>
  </si>
  <si>
    <t>Grass-Fed Organ Blend</t>
  </si>
  <si>
    <t>1 lb pack</t>
  </si>
  <si>
    <t>DVO2SXTU7A5IQIHBUJ5AWUZ2</t>
  </si>
  <si>
    <t>Greek Loukaniko Sausage Links</t>
  </si>
  <si>
    <t>BEPUBK767D7WACNDBXCJH3L4</t>
  </si>
  <si>
    <t>Hot Italian Sausage Links</t>
  </si>
  <si>
    <t>IZC4B3HYKVYJGWP2ZFFWZLMB</t>
  </si>
  <si>
    <t>Lamb Merguez Sausage Links</t>
  </si>
  <si>
    <t>4 links/pack 14 oz pack</t>
  </si>
  <si>
    <t>U37CHXXOQNKCISKGN4INWKO3</t>
  </si>
  <si>
    <t>Rendered Beef Tallow, 16 oz</t>
  </si>
  <si>
    <t>3Y2UCCDHYT3VY5O63IAHKH6Z</t>
  </si>
  <si>
    <t>Rendered Beef Tallow, 8 oz</t>
  </si>
  <si>
    <t>4HFME7B2JIQDOLKVUVLVS6F7</t>
  </si>
  <si>
    <t>Rendered Pork Leaf Lard, 16 oz</t>
  </si>
  <si>
    <t>ZEJEZMPCSE323KHSR7HIV3CE</t>
  </si>
  <si>
    <t>Rendered Pork Leaf Lard, 8 oz</t>
  </si>
  <si>
    <t>FSUAAXZ62XGTPFHUOBYNVTOI</t>
  </si>
  <si>
    <t>Summer Herb Lamb Sausage Links</t>
  </si>
  <si>
    <t>Swedish Sausage Potato Dumplings</t>
  </si>
  <si>
    <t>13oz/ 10 Dumplings/Pack</t>
  </si>
  <si>
    <t>KF6PWHPNK4MJPTDJBLLYH3Z5</t>
  </si>
  <si>
    <t>Thai Curry Sausage Links</t>
  </si>
  <si>
    <t>26M5W4W6YJGAXVNWVIOUSNUU</t>
  </si>
  <si>
    <t>Turkey Apple Sage Sausage Links</t>
  </si>
  <si>
    <t>PNCJYNXMQKMJD64ANYNXGGQC</t>
  </si>
  <si>
    <t>Dollar add-on $7.11; equivalent % shown</t>
  </si>
  <si>
    <t>Gluten Free Apple Pie</t>
  </si>
  <si>
    <t>Elegant Elephant Baking Co.</t>
  </si>
  <si>
    <t>6"</t>
  </si>
  <si>
    <t>Gluten Free Banana Cream Pie</t>
  </si>
  <si>
    <t>Gluten Free Blackberry Hand Pie</t>
  </si>
  <si>
    <t>Gluten Free Blueberry Scone</t>
  </si>
  <si>
    <t>ZKKXZXF5WODVW6XOHCDKC32A</t>
  </si>
  <si>
    <t>Gluten Free Box of 5 Cupcakes</t>
  </si>
  <si>
    <t>Gluten Free Brownie Bite with Chocolate Chips</t>
  </si>
  <si>
    <t>FJB4PYJB5DS7JH23BC3NIDRK</t>
  </si>
  <si>
    <t>Gluten Free Cheddar Rolls</t>
  </si>
  <si>
    <t>bag of 4</t>
  </si>
  <si>
    <t>Gluten Free Chocolate Cream Pie</t>
  </si>
  <si>
    <t>Gluten Free Chocolate Donut</t>
  </si>
  <si>
    <t>OP7GVICC4NK4QADUYGVKJFVP</t>
  </si>
  <si>
    <t>Gluten Free Cinnamon Roll Pan</t>
  </si>
  <si>
    <t>Gluten Free Croutons</t>
  </si>
  <si>
    <t>Gluten Free Dinner Rolls</t>
  </si>
  <si>
    <t>bag of 6</t>
  </si>
  <si>
    <t>Gluten Free Half Almond Loaf Sliced</t>
  </si>
  <si>
    <t>Gluten Free Mini Banana Bread Loaf</t>
  </si>
  <si>
    <t>Gluten Free Mixed Berry Pie</t>
  </si>
  <si>
    <t>9"</t>
  </si>
  <si>
    <t>Gluten Free Pizza Dough</t>
  </si>
  <si>
    <t>22 oz. each</t>
  </si>
  <si>
    <t>Gluten Free Potato Loaf with Teff</t>
  </si>
  <si>
    <t>Gluten Free Seven Layer Cookie</t>
  </si>
  <si>
    <t>Gluten Free Sourdough Baguette</t>
  </si>
  <si>
    <t>Roasted Hazelnuts 12 oz.</t>
  </si>
  <si>
    <t>Farmhands Co-Op</t>
  </si>
  <si>
    <t>12 oz bag</t>
  </si>
  <si>
    <t>Roasted Hazelnuts 4 oz</t>
  </si>
  <si>
    <t>4 oz bag</t>
  </si>
  <si>
    <t>#2 Juicing Carrots</t>
  </si>
  <si>
    <t>Full Farm CSA</t>
  </si>
  <si>
    <t>Acorn squash</t>
  </si>
  <si>
    <t>1 Each</t>
  </si>
  <si>
    <t>Autumn Frost Squash Large</t>
  </si>
  <si>
    <t>Breakfast Bundle</t>
  </si>
  <si>
    <t>Each</t>
  </si>
  <si>
    <t>NO PACKAGE</t>
  </si>
  <si>
    <t>HOLD: missing package record; No approved Square match; Square price left blank</t>
  </si>
  <si>
    <t>Butternut Squash</t>
  </si>
  <si>
    <t>3-4 lbs each</t>
  </si>
  <si>
    <t>1 Lb</t>
  </si>
  <si>
    <t>Collard Raab</t>
  </si>
  <si>
    <t>Deck Family Farm &amp; Full Farm CSA Hoodie</t>
  </si>
  <si>
    <t>Large</t>
  </si>
  <si>
    <t>Common proposed price for existing customer lists, including SNAP; Current list prices range $45.50–$49.00; baseline is Herd Share Members; Local calculation differs from Local Line; No approved Square match; Square price left blank</t>
  </si>
  <si>
    <t>Medium</t>
  </si>
  <si>
    <t>Common proposed price for existing customer lists, including SNAP; Current list prices range $30.00–$49.00; baseline is Herd Share Members; Local calculation differs from Local Line; No approved Square match; Square price left blank</t>
  </si>
  <si>
    <t>Small</t>
  </si>
  <si>
    <t>Xtra Large</t>
  </si>
  <si>
    <t>Deck Family Farm &amp; Full Farm CSA T-Shirt</t>
  </si>
  <si>
    <t>Xtra Small</t>
  </si>
  <si>
    <t>Deck Family Farm and Full Farm CSA Hat</t>
  </si>
  <si>
    <t>Deck Family Farm Insulated Bag</t>
  </si>
  <si>
    <t>Blue Bag</t>
  </si>
  <si>
    <t>QQ6O2UWSJ7VAGMT3XHTRSLVF</t>
  </si>
  <si>
    <t>Fixed price $24.81; equivalent % shown</t>
  </si>
  <si>
    <t>Green Bag</t>
  </si>
  <si>
    <t>USUT3WAE46WL2TOQAIY4SCKL</t>
  </si>
  <si>
    <t>Orange Bag</t>
  </si>
  <si>
    <t>Deck Family Farm's Fall Farm-to-Table Celebration</t>
  </si>
  <si>
    <t>Adult Ticket (12 and up)</t>
  </si>
  <si>
    <t>Kid Ticket (12 and under)</t>
  </si>
  <si>
    <t>Common proposed price for existing customer lists, including SNAP; No approved Square match; Square price left blank; HOLD: zero base price cannot produce a percentage markup.</t>
  </si>
  <si>
    <t>Delicata Squash</t>
  </si>
  <si>
    <t>about 2 lbs each</t>
  </si>
  <si>
    <t>Dinner in a Box: Ground Lamb Bundle</t>
  </si>
  <si>
    <t>Dinner in a Box: Ground Lamb Bundle No Yogurt</t>
  </si>
  <si>
    <t>Dinner in a Box: Pork Shoulder Roast</t>
  </si>
  <si>
    <t>Dinner in a Box: Pork Shoulder Roast-No Dairy</t>
  </si>
  <si>
    <t>Dinner in a Box: Roasting Chicken</t>
  </si>
  <si>
    <t>Dinner in a Box: Roasting Chicken - No Dairy</t>
  </si>
  <si>
    <t>Frozen Blueberries</t>
  </si>
  <si>
    <t>~1.0 lbs</t>
  </si>
  <si>
    <t>Frozen Strawberries</t>
  </si>
  <si>
    <t>~1 lbs</t>
  </si>
  <si>
    <t>Ground Meat Bundle</t>
  </si>
  <si>
    <t>Hyland Processing Variety Pack</t>
  </si>
  <si>
    <t>Mini Butternut Squash</t>
  </si>
  <si>
    <t>Purple Top Turnip</t>
  </si>
  <si>
    <t>Quince</t>
  </si>
  <si>
    <t>Rhubarb</t>
  </si>
  <si>
    <t>Common proposed price for existing customer lists, including SNAP; Current list prices range $4.90–$5.42; baseline is Herd Share Members; No approved Square match; Square price left blank</t>
  </si>
  <si>
    <t>Tetsakabuto Winter Squash</t>
  </si>
  <si>
    <t>Tote Bag</t>
  </si>
  <si>
    <t>Wildcraft Hot Sauce</t>
  </si>
  <si>
    <t>Winter Carrots</t>
  </si>
  <si>
    <t>2# bag</t>
  </si>
  <si>
    <t>Mapped Local Line product not returned by live read; Mapped Local Line package not found under mapped product; No approved Square match; Square price left blank</t>
  </si>
  <si>
    <t>Yacon Tuber</t>
  </si>
  <si>
    <t>"It Really Woks!" Deodorant- Cedarwood and Fir</t>
  </si>
  <si>
    <t>Granny Smith All Natural</t>
  </si>
  <si>
    <t>2.5 oz ea</t>
  </si>
  <si>
    <t>Fixed price $15.00; equivalent % shown</t>
  </si>
  <si>
    <t>Common proposed price for existing customer lists, including SNAP; Current list prices range $14.70–$15.00; baseline is Herd Share Members; Local calculation differs from Local Line; No approved Square match; Square price left blank; Current percentage is equivalent, not a stored percentage setting; review conversion from the existing dollar adjustment.</t>
  </si>
  <si>
    <t>"It Really Woks!" Deodorant- Grapefruit</t>
  </si>
  <si>
    <t>"It Really Woks!" Deodorant- Lavender</t>
  </si>
  <si>
    <t>"Sanitize Naturally" Hand Sanitizer Spray w/ Lemongrass, Orange &amp; Peppermint Essential Oils</t>
  </si>
  <si>
    <t>1 oz ea</t>
  </si>
  <si>
    <t>Gardener's Scrub Soap Bar- Lemongrass and Rosemary</t>
  </si>
  <si>
    <t>4.5 oz ea</t>
  </si>
  <si>
    <t>Fixed price $8.00; equivalent % shown</t>
  </si>
  <si>
    <t>Common proposed price for existing customer lists, including SNAP; Current list prices range $8.00–$8.33; baseline is Herd Share Members; Local calculation differs from Local Line; No approved Square match; Square price left blank; Current percentage is equivalent, not a stored percentage setting; review conversion from the existing dollar adjustment.</t>
  </si>
  <si>
    <t>Lavender Goodness Soap Bar</t>
  </si>
  <si>
    <t>Old King Charcoal Soap Bar- Cedarwood and Fir</t>
  </si>
  <si>
    <t>Oregon Peppermint Fields Soap Bar</t>
  </si>
  <si>
    <t>Shampoo Bar-  Honeysuckle</t>
  </si>
  <si>
    <t>Shampoo Bar-  Lavender</t>
  </si>
  <si>
    <t>Shampoo Bar-  Lemongrass</t>
  </si>
  <si>
    <t>Travel Size Bug Repellent Stick</t>
  </si>
  <si>
    <t>0.5 oz ea</t>
  </si>
  <si>
    <t>Travel Size Healing Stick</t>
  </si>
  <si>
    <t>0.35 oz ea</t>
  </si>
  <si>
    <t>Fixed price $7.00; equivalent % shown</t>
  </si>
  <si>
    <t>Common proposed price for existing customer lists, including SNAP; Current list prices range $6.86–$7.00; baseline is Herd Share Members; Local calculation differs from Local Line; No approved Square match; Square price left blank; Current percentage is equivalent, not a stored percentage setting; review conversion from the existing dollar adjustment.</t>
  </si>
  <si>
    <t>Travel Size Lotion Stick w/ Grapefruit Essential Oil</t>
  </si>
  <si>
    <t>Travel Size Lotion Stick w/ Honeysuckle Essential Oil</t>
  </si>
  <si>
    <t>Travel Size Lotion Stick w/ Lavender Essential Oil &amp; Charcoal</t>
  </si>
  <si>
    <t>Travel Size Lotion Stick w/ Lemongrass &amp; Orange Essential Oils &amp; Turmeric</t>
  </si>
  <si>
    <t>Virtuous Lemon Soap Bar</t>
  </si>
  <si>
    <t>Baby Green Salad Mix (1/2 lb)</t>
  </si>
  <si>
    <t>Grazier's Garden</t>
  </si>
  <si>
    <t>bag</t>
  </si>
  <si>
    <t>Baby Kale (1/2lb)</t>
  </si>
  <si>
    <t>Blue Kuri Kabocha Squash</t>
  </si>
  <si>
    <t>Broccoli Greens</t>
  </si>
  <si>
    <t>Bulk Carrots</t>
  </si>
  <si>
    <t>Bulk Red Beets - 5lb. bag</t>
  </si>
  <si>
    <t>5lb. bag</t>
  </si>
  <si>
    <t>Cantaloupe</t>
  </si>
  <si>
    <t>Carrot (Baby) Bunch</t>
  </si>
  <si>
    <t>Cornito Peppers</t>
  </si>
  <si>
    <t>Dried English Lavender</t>
  </si>
  <si>
    <t>Edible Calendula Flower</t>
  </si>
  <si>
    <t>French Breakfast Radish</t>
  </si>
  <si>
    <t>Bunch</t>
  </si>
  <si>
    <t>Fresh Cherries</t>
  </si>
  <si>
    <t>Fresh Chocolate Mint</t>
  </si>
  <si>
    <t>Fresh Cilantro</t>
  </si>
  <si>
    <t>Fresh Lavender</t>
  </si>
  <si>
    <t>Fresh Oregano</t>
  </si>
  <si>
    <t>Fresh Rosemary</t>
  </si>
  <si>
    <t>Fresh Sage</t>
  </si>
  <si>
    <t>Fresh Spearmint</t>
  </si>
  <si>
    <t>Fresh Strawberries</t>
  </si>
  <si>
    <t>Pint</t>
  </si>
  <si>
    <t>Fresh Thyme</t>
  </si>
  <si>
    <t>Frozen Blackberries</t>
  </si>
  <si>
    <t>Frozen Cherry Tomatoes</t>
  </si>
  <si>
    <t>Frozen Golden Cherry Tomatoes</t>
  </si>
  <si>
    <t>Frozen Heirloom Tomatoes</t>
  </si>
  <si>
    <t>Frozen Tomatoes</t>
  </si>
  <si>
    <t>Frozen Pitted Cherries</t>
  </si>
  <si>
    <t>Grazier's Salad Mix</t>
  </si>
  <si>
    <t>Active — retain sale; rate unavailable</t>
  </si>
  <si>
    <t>Common proposed price for existing customer lists, including SNAP; Retain active Local Line sale; local sale flag differs; Sale flag retained; regular price/discount must be checked before publication; No approved Square match; Square price left blank; The Local Line markup already includes the sale reduction. Do not discount the calculated package price again. Retain each list’s sale flag and scale its valid regular price by the selling-price change.; HOLD: existing sale has no valid regular reference; sale discount cannot be verified.</t>
  </si>
  <si>
    <t>Green Tomatoes</t>
  </si>
  <si>
    <t>Heirloom Tomatoes</t>
  </si>
  <si>
    <t>24% — retained</t>
  </si>
  <si>
    <t>Common proposed price for existing customer lists, including SNAP; Retain active Local Line sale; local sale flag differs; No approved Square match; Square price left blank; The Local Line markup already includes the sale reduction. Do not discount the calculated package price again. Retain each list’s sale flag and scale its valid regular price by the selling-price change.</t>
  </si>
  <si>
    <t>Honeydew Melon</t>
  </si>
  <si>
    <t>Italian Eggplant</t>
  </si>
  <si>
    <t>Italian Sweet Frying Peppers</t>
  </si>
  <si>
    <t>Kale Raab</t>
  </si>
  <si>
    <t>Lacinato Kale</t>
  </si>
  <si>
    <t>Common proposed price for existing customer lists, including SNAP; Current list prices range $3.00–$4.20; baseline is Herd Share Members; Local calculation differs from Local Line; No approved Square match; Square price left blank</t>
  </si>
  <si>
    <t>Mini Watermelon</t>
  </si>
  <si>
    <t>Mixed salad greens</t>
  </si>
  <si>
    <t>Oxheart Heirloom Tomatoes</t>
  </si>
  <si>
    <t>Paste Tomatoes</t>
  </si>
  <si>
    <t>22.57% — retained</t>
  </si>
  <si>
    <t>Pehoski Purple Bulb Garlic</t>
  </si>
  <si>
    <t>Pickled Garlic Scapes</t>
  </si>
  <si>
    <t>pt</t>
  </si>
  <si>
    <t>Purple Bell Peppers</t>
  </si>
  <si>
    <t>Purple Onion</t>
  </si>
  <si>
    <t>Purple Sprouting Broccoli</t>
  </si>
  <si>
    <t>Red Slicer Tomato</t>
  </si>
  <si>
    <t>Red Slicer Tomatoes</t>
  </si>
  <si>
    <t>31.86% — retained</t>
  </si>
  <si>
    <t>Salad Turnips (Hakurei)</t>
  </si>
  <si>
    <t>Shishito Pepper Pint</t>
  </si>
  <si>
    <t>Common proposed price for existing customer lists, including SNAP; Current list prices range $3.85–$4.13; baseline is Herd Share Members; Local calculation differs from Local Line; No approved Square match; Square price left blank</t>
  </si>
  <si>
    <t>Shishito Peppers</t>
  </si>
  <si>
    <t>Lb.</t>
  </si>
  <si>
    <t>Sora Radish</t>
  </si>
  <si>
    <t>Spanish Onion</t>
  </si>
  <si>
    <t>Speckled Roman Tomato</t>
  </si>
  <si>
    <t>Spinach (1/2 lb)</t>
  </si>
  <si>
    <t>Squash Abundance</t>
  </si>
  <si>
    <t>Winterbor Mixed Curly Kale Bunch</t>
  </si>
  <si>
    <t>Yellow Summer Squash</t>
  </si>
  <si>
    <t>Zinnia Bouquet</t>
  </si>
  <si>
    <t>Zinnia Bunch</t>
  </si>
  <si>
    <t>The Daily Jar Tote/Jar Bag: Organic Waxed Canvas-WFTO Certified</t>
  </si>
  <si>
    <t>Jar Joy Goods</t>
  </si>
  <si>
    <t>The Insulated Jar Tote/Jar Bag: Hemp + Natural Rubber (Yulex)</t>
  </si>
  <si>
    <t>Common proposed price for existing customer lists, including SNAP; Current list prices range $143.65–$154.70; baseline is Herd Share Members; Local calculation differs from Local Line; No approved Square match; Square price left blank</t>
  </si>
  <si>
    <t>Baby Bok Choi</t>
  </si>
  <si>
    <t>Little Wings</t>
  </si>
  <si>
    <t>Basil</t>
  </si>
  <si>
    <t>1 bu.</t>
  </si>
  <si>
    <t>Cosmic Gold Potato</t>
  </si>
  <si>
    <t>Dino Lacinato Kale</t>
  </si>
  <si>
    <t>Fava Beans</t>
  </si>
  <si>
    <t>Fennel</t>
  </si>
  <si>
    <t>Frisee Lettuce</t>
  </si>
  <si>
    <t>Green  Butterhead Lettuce</t>
  </si>
  <si>
    <t>Green beans</t>
  </si>
  <si>
    <t>Green Broccolini</t>
  </si>
  <si>
    <t>Green Curly Kale</t>
  </si>
  <si>
    <t>Green Kohlrabi</t>
  </si>
  <si>
    <t>Green Lunchbox Peppers</t>
  </si>
  <si>
    <t>Green Mizuna</t>
  </si>
  <si>
    <t>Hakurei Turnips</t>
  </si>
  <si>
    <t>Herb Bundle: Rosemary, Thyme and Sage Combo</t>
  </si>
  <si>
    <t>Hungarian Hot Wax Pepper</t>
  </si>
  <si>
    <t>lb.</t>
  </si>
  <si>
    <t>Jalapeño Peppers</t>
  </si>
  <si>
    <t>Lunchbox Peppers</t>
  </si>
  <si>
    <t>1 pound bag</t>
  </si>
  <si>
    <t>Muncher Cucumber</t>
  </si>
  <si>
    <t>Orange Bell Pepper</t>
  </si>
  <si>
    <t>Pea Shoots</t>
  </si>
  <si>
    <t>4 oz</t>
  </si>
  <si>
    <t>Poblano Peppers</t>
  </si>
  <si>
    <t>Purple Kohlrabi</t>
  </si>
  <si>
    <t>Purple Radish</t>
  </si>
  <si>
    <t>Purple Scallions</t>
  </si>
  <si>
    <t>Red Butterhead Lettuce</t>
  </si>
  <si>
    <t>Red Cherry Tomatoes</t>
  </si>
  <si>
    <t>Red Jimmy Nardello Peppers</t>
  </si>
  <si>
    <t>Red Russian Kale</t>
  </si>
  <si>
    <t>Romaine Lettuce</t>
  </si>
  <si>
    <t>Romano Beans</t>
  </si>
  <si>
    <t>1lb</t>
  </si>
  <si>
    <t>Sage</t>
  </si>
  <si>
    <t>Salad Mix</t>
  </si>
  <si>
    <t>Spinach  1/2 Lb.</t>
  </si>
  <si>
    <t>Striped Eggplant</t>
  </si>
  <si>
    <t>Tomatillos</t>
  </si>
  <si>
    <t>Toybox Cherry Tomatoes</t>
  </si>
  <si>
    <t>Walla Walla Onions</t>
  </si>
  <si>
    <t>Watermelon Radish</t>
  </si>
  <si>
    <t>Broccoli Microgreens</t>
  </si>
  <si>
    <t>Lone Wolf Ranch</t>
  </si>
  <si>
    <t>1 oz. pk</t>
  </si>
  <si>
    <t>2 oz pk</t>
  </si>
  <si>
    <t>Purple Radish Microgreens</t>
  </si>
  <si>
    <t>Cayenne Kettle Corn</t>
  </si>
  <si>
    <t>Lonesome Whistle</t>
  </si>
  <si>
    <t>0.4 lb bag</t>
  </si>
  <si>
    <t>Dakota Black Heirloom Popcorn</t>
  </si>
  <si>
    <t>2 lbs</t>
  </si>
  <si>
    <t>Dakota Black Kettle Corn</t>
  </si>
  <si>
    <t>Dark Northern Rye Flour</t>
  </si>
  <si>
    <t>1.6 lbs</t>
  </si>
  <si>
    <t>Einkorn Fusilli</t>
  </si>
  <si>
    <t>0.5 lb bag</t>
  </si>
  <si>
    <t>Emmer Farro</t>
  </si>
  <si>
    <t>1.25 lb Bag</t>
  </si>
  <si>
    <t>Garlic Dill Popcorn</t>
  </si>
  <si>
    <t>Jalapeno Cheddar Popcorn</t>
  </si>
  <si>
    <t>Lemon Lavender Popcorn</t>
  </si>
  <si>
    <t>Maris Widgeon Macaroni</t>
  </si>
  <si>
    <t>Nutritional Yeast Popcorn</t>
  </si>
  <si>
    <t>Rise &amp; Shine Gluten Free Pancake Mix</t>
  </si>
  <si>
    <t>Up &amp; At 'Em Pancake Mix</t>
  </si>
  <si>
    <t>Asian Pears</t>
  </si>
  <si>
    <t>MISSING VENDOR</t>
  </si>
  <si>
    <t>HOLD: missing local vendor; Common proposed price for existing customer lists, including SNAP; No approved Square match; Square price left blank; Proposed markup left blank until the source-data hold is resolved.</t>
  </si>
  <si>
    <t>Banana Shallots</t>
  </si>
  <si>
    <t>Big Beef Slicer Tomato</t>
  </si>
  <si>
    <t>Black Gravenstein Apples</t>
  </si>
  <si>
    <t>Brazil Minas Gerais Dark Roast Coffee Beans</t>
  </si>
  <si>
    <t>Brazil Minas Gerais Dark Roast Ground Coffee</t>
  </si>
  <si>
    <t>Brooks Plums</t>
  </si>
  <si>
    <t>Bulgarian Pepper, Hot</t>
  </si>
  <si>
    <t>Bulk Mix Apples</t>
  </si>
  <si>
    <t>10 lb bag</t>
  </si>
  <si>
    <t>5 lb bag</t>
  </si>
  <si>
    <t>Bulk Mix Pears</t>
  </si>
  <si>
    <t>Burbank Red Ace Plums</t>
  </si>
  <si>
    <t>Canary Melon</t>
  </si>
  <si>
    <t>Cathay Bell Watermelon</t>
  </si>
  <si>
    <t>ea.</t>
  </si>
  <si>
    <t>HOLD: missing local vendor; Common proposed price for existing customer lists, including SNAP; Current list prices range $8.50–$8.88; baseline is Herd Share Members; Local calculation differs from Local Line; No approved Square match; Square price left blank; Proposed markup left blank until the source-data hold is resolved.</t>
  </si>
  <si>
    <t>Cayenne Pepper</t>
  </si>
  <si>
    <t>HOLD: missing local vendor; Common proposed price for existing customer lists, including SNAP; Current list prices range $1.33–$1.40; baseline is Herd Share Members; Local calculation differs from Local Line; No approved Square match; Square price left blank; Proposed markup left blank until the source-data hold is resolved.</t>
  </si>
  <si>
    <t>Celeriac</t>
  </si>
  <si>
    <t>Chanterelle mushrooms</t>
  </si>
  <si>
    <t>HOLD: missing local vendor; Common proposed price for existing customer lists, including SNAP; Current list prices range $11.30–$11.90; baseline is Herd Share Members; Local calculation differs from Local Line; No approved Square match; Square price left blank; Proposed markup left blank until the source-data hold is resolved.</t>
  </si>
  <si>
    <t>Chesnok Red Garlic (Dried and Cured)</t>
  </si>
  <si>
    <t>Colombia Finca La Suiza Cafe De Mujer Light Roast Coffee Beans</t>
  </si>
  <si>
    <t>Colombia Finca La Suiza Cafe De Mujer Light Roast Ground Coffee</t>
  </si>
  <si>
    <t>Crisphead Lettuce</t>
  </si>
  <si>
    <t>Fixed price $3.00; equivalent % shown</t>
  </si>
  <si>
    <t>HOLD: missing local vendor; Common proposed price for existing customer lists, including SNAP; Local calculation differs from Local Line; Retain active Local Line sale; local sale flag differs; Sale flag retained; regular price/discount must be checked before publication; No approved Square match; Square price left blank; Current percentage is equivalent, not a stored percentage setting; review conversion from the existing dollar adjustment.; The Local Line markup already includes the sale reduction. Do not discount the calculated package price again. Retain each list’s sale flag and scale its valid regular price by the selling-price change.; HOLD: existing sale has no valid regular reference; sale discount cannot be verified.; Proposed markup left blank until the source-data hold is resolved.</t>
  </si>
  <si>
    <t>d'Anjou Pear</t>
  </si>
  <si>
    <t>Fixed price $1.25; equivalent % shown</t>
  </si>
  <si>
    <t>HOLD: missing local vendor; Common proposed price for existing customer lists, including SNAP; Current list prices range $1.25–$2.10; baseline is Herd Share Members; Local calculation differs from Local Line; Retain active Local Line sale; local sale flag differs; Sale flag retained; regular price/discount must be checked before publication; No approved Square match; Square price left blank; Current percentage is equivalent, not a stored percentage setting; review conversion from the existing dollar adjustment.; The Local Line markup already includes the sale reduction. Do not discount the calculated package price again. Retain each list’s sale flag and scale its valid regular price by the selling-price change.; HOLD: existing sale has no valid regular reference; sale discount cannot be verified.; Proposed markup left blank until the source-data hold is resolved.</t>
  </si>
  <si>
    <t>Flat, Strawberries</t>
  </si>
  <si>
    <t>Fixed price $48.50; equivalent % shown</t>
  </si>
  <si>
    <t>Fresh Frozen Elderberries</t>
  </si>
  <si>
    <t>Frozen Raspberries</t>
  </si>
  <si>
    <t>Fuzzy Kiwis</t>
  </si>
  <si>
    <t>Fixed price $1.50; equivalent % shown</t>
  </si>
  <si>
    <t>Gold Beets</t>
  </si>
  <si>
    <t>Green and Red Mixed Grapes</t>
  </si>
  <si>
    <t>HOLD: missing local vendor; Common proposed price for existing customer lists, including SNAP; Current list prices range $4.00–$4.20; baseline is Herd Share Members; Local calculation differs from Local Line; No approved Square match; Square price left blank; Proposed markup left blank until the source-data hold is resolved.</t>
  </si>
  <si>
    <t>Green Cabbage</t>
  </si>
  <si>
    <t>Green Gage Plums</t>
  </si>
  <si>
    <t>Green Grapes</t>
  </si>
  <si>
    <t>Fixed price $3.50; equivalent % shown</t>
  </si>
  <si>
    <t>Green Italian Frying Pepper</t>
  </si>
  <si>
    <t>Green Patty Pan Squash</t>
  </si>
  <si>
    <t>Green Pole Beans</t>
  </si>
  <si>
    <t>HOLD: missing local vendor; Common proposed price for existing customer lists, including SNAP; Current list prices range $6.08–$6.30; baseline is Herd Share Members; Local calculation differs from Local Line; No approved Square match; Square price left blank; Proposed markup left blank until the source-data hold is resolved.</t>
  </si>
  <si>
    <t>Green Romaine Lettuce</t>
  </si>
  <si>
    <t>Fixed price $2.50; equivalent % shown</t>
  </si>
  <si>
    <t>HOLD: missing local vendor; Common proposed price for existing customer lists, including SNAP; Current list prices range $2.45–$2.50; baseline is Herd Share Members; Local calculation differs from Local Line; No approved Square match; Square price left blank; Current percentage is equivalent, not a stored percentage setting; review conversion from the existing dollar adjustment.; Proposed markup left blank until the source-data hold is resolved.</t>
  </si>
  <si>
    <t>Ground Beef &amp; Pork Bundle</t>
  </si>
  <si>
    <t>HOLD: missing local vendor; Common proposed price for existing customer lists, including SNAP; Local calculation differs from Local Line; No approved Square match; Square price left blank; Proposed markup left blank until the source-data hold is resolved.</t>
  </si>
  <si>
    <t>Guatemala Cafe Feminino Light Roast Coffee Beans</t>
  </si>
  <si>
    <t>Guatemala Cafe Feminino Light Roast Ground Coffee</t>
  </si>
  <si>
    <t>Guatemala Xuj Kape Light Roast Coffee Beans</t>
  </si>
  <si>
    <t>Handcrafted  Wooden Bowls Large 20 Oz</t>
  </si>
  <si>
    <t>HOLD: missing local vendor; Mapped Local Line product not returned by live read; Mapped Local Line package not found under mapped product; No approved Square match; Square price left blank</t>
  </si>
  <si>
    <t>Handcrafted Egg Pushers</t>
  </si>
  <si>
    <t>Handcrafted Fancy Wooden Eating Spoons</t>
  </si>
  <si>
    <t>Handcrafted Maple Candle Holder</t>
  </si>
  <si>
    <t>Handcrafted Whisk Brooms</t>
  </si>
  <si>
    <t>Handcrafted Wood &amp; Metal Dustpan</t>
  </si>
  <si>
    <t>Handcrafted Wooden Bowls, Small 14 oz</t>
  </si>
  <si>
    <t>Handcrafted Wooden Chopsticks</t>
  </si>
  <si>
    <t>Handcrafted Wooden Fancy Egg Pushers</t>
  </si>
  <si>
    <t>Handcrafted Wooden Fancy Kitchen Spoons</t>
  </si>
  <si>
    <t>Handcrafted Wooden Plain Kitchen Stir Stix</t>
  </si>
  <si>
    <t>Handcrafted Wooden Plates</t>
  </si>
  <si>
    <t>Handcrafted Wooden Serving Spoons</t>
  </si>
  <si>
    <t>Handcrafted Wooden Spatulas</t>
  </si>
  <si>
    <t>Handcrafted Wooden Teaspoons</t>
  </si>
  <si>
    <t>Italian Plum</t>
  </si>
  <si>
    <t>Jeff's Rolled Oats</t>
  </si>
  <si>
    <t>1.5 lb bag</t>
  </si>
  <si>
    <t>Kiwi Berries</t>
  </si>
  <si>
    <t>1/2 pt</t>
  </si>
  <si>
    <t>Kohlrabi Purple or Green</t>
  </si>
  <si>
    <t>Levitate Elixirs-Spiced Cranberry Orange &amp; Vanilla</t>
  </si>
  <si>
    <t>750 ml / 25.4 fl oz ea</t>
  </si>
  <si>
    <t>Levitate Elixirs-Spiced Pineapple &amp; Coconut</t>
  </si>
  <si>
    <t>Levitate Elixirs-Strawberry, Hops &amp; Rose</t>
  </si>
  <si>
    <t>Levitate Elixirs-Wild Blueberry, Lemon &amp; Rosemary</t>
  </si>
  <si>
    <t>Marionberry</t>
  </si>
  <si>
    <t>Matsutake mushrooms</t>
  </si>
  <si>
    <t>HOLD: missing local vendor; Common proposed price for existing customer lists, including SNAP; Current list prices range $14.96–$15.75; baseline is Herd Share Members; Local calculation differs from Local Line; No approved Square match; Square price left blank; Proposed markup left blank until the source-data hold is resolved.</t>
  </si>
  <si>
    <t>Medium Mixed Flower Bouquet</t>
  </si>
  <si>
    <t>Mix of Pears</t>
  </si>
  <si>
    <t>Mixed Red and Yellow Peppers</t>
  </si>
  <si>
    <t>Music Garlic (Dried and Cured)</t>
  </si>
  <si>
    <t>Naravilla and Laturilla Figs</t>
  </si>
  <si>
    <t>pack</t>
  </si>
  <si>
    <t>4 lb. Bag</t>
  </si>
  <si>
    <t>1/2 Lb.</t>
  </si>
  <si>
    <t>HOLD: missing local vendor; Common proposed price for existing customer lists, including SNAP; Current list prices range $6.75–$7.00; baseline is Herd Share Members; Local calculation differs from Local Line; No approved Square match; Square price left blank; Proposed markup left blank until the source-data hold is resolved.</t>
  </si>
  <si>
    <t>Peppermint</t>
  </si>
  <si>
    <t>Persian Cucumber</t>
  </si>
  <si>
    <t>HOLD: missing local vendor; Common proposed price for existing customer lists, including SNAP; Current list prices range $3.22–$3.36; baseline is Herd Share Members; Local calculation differs from Local Line; No approved Square match; Square price left blank; Proposed markup left blank until the source-data hold is resolved.</t>
  </si>
  <si>
    <t>Polish White Garlic (Dried and Cured)</t>
  </si>
  <si>
    <t>Red Butter-head Little Gem Lettuce</t>
  </si>
  <si>
    <t>HOLD: missing local vendor; Common proposed price for existing customer lists, including SNAP; Current list prices range $1.88–$1.96; baseline is Herd Share Members; Local calculation differs from Local Line; No approved Square match; Square price left blank; Proposed markup left blank until the source-data hold is resolved.</t>
  </si>
  <si>
    <t>Satsuma plums</t>
  </si>
  <si>
    <t>Seckel Pears</t>
  </si>
  <si>
    <t>Spring Onion</t>
  </si>
  <si>
    <t>Ea</t>
  </si>
  <si>
    <t>Stanley Plums</t>
  </si>
  <si>
    <t>Stark Yellow Peaches</t>
  </si>
  <si>
    <t>Stripped Zucchini</t>
  </si>
  <si>
    <t>Suncrest Peach</t>
  </si>
  <si>
    <t>Sweet Potato “Seconds”</t>
  </si>
  <si>
    <t>Fixed price $2.75; equivalent % shown</t>
  </si>
  <si>
    <t>HOLD: missing local vendor; Common proposed price for existing customer lists, including SNAP; Current list prices range $7.00–$8.33; baseline is Herd Share Members; No approved Square match; Square price left blank; Proposed markup left blank until the source-data hold is resolved.</t>
  </si>
  <si>
    <t>Turkish Long Eggplant</t>
  </si>
  <si>
    <t>Fixed price $1.75; equivalent % shown</t>
  </si>
  <si>
    <t>Yellow Italian Frying Pepper</t>
  </si>
  <si>
    <t>Yellow Potatoes (Vista Gold)</t>
  </si>
  <si>
    <t>Anaheim Pepper</t>
  </si>
  <si>
    <t>Organically Grown Company</t>
  </si>
  <si>
    <t>Asparagus</t>
  </si>
  <si>
    <t>No Local Line product mapping; No Local Line package mapping; No approved Square match; Square price left blank</t>
  </si>
  <si>
    <t>Baby Red Onion</t>
  </si>
  <si>
    <t>Black Garlic</t>
  </si>
  <si>
    <t>3.75 oz  bag</t>
  </si>
  <si>
    <t>Blackberries</t>
  </si>
  <si>
    <t>1/2  pt</t>
  </si>
  <si>
    <t>Blueberries</t>
  </si>
  <si>
    <t>Broccoli Rapini</t>
  </si>
  <si>
    <t>Calcot Onion Bunch</t>
  </si>
  <si>
    <t>Cherries (WA)</t>
  </si>
  <si>
    <t>1.5 lb. bag</t>
  </si>
  <si>
    <t>Crimini Mushrooms</t>
  </si>
  <si>
    <t>Daikon Radish (WA)</t>
  </si>
  <si>
    <t>Eggplant</t>
  </si>
  <si>
    <t>Fuji Apple (WA)</t>
  </si>
  <si>
    <t>Common proposed price for existing customer lists, including SNAP; Current list prices range $1.26–$1.35; baseline is Herd Share Members; Local calculation differs from Local Line; No approved Square match; Square price left blank</t>
  </si>
  <si>
    <t>Gala Apple</t>
  </si>
  <si>
    <t>Gold Raspberries</t>
  </si>
  <si>
    <t>Granny Smith Apple (WA)</t>
  </si>
  <si>
    <t>Honey Crisp Apple (WA)</t>
  </si>
  <si>
    <t>Common proposed price for existing customer lists, including SNAP; Current list prices range $2.45–$2.63; baseline is Herd Share Members; Local calculation differs from Local Line; No approved Square match; Square price left blank</t>
  </si>
  <si>
    <t>Italian Kale Raab</t>
  </si>
  <si>
    <t>Jalapeno</t>
  </si>
  <si>
    <t>Kaiware, Green Microgreens</t>
  </si>
  <si>
    <t>2 oz ea</t>
  </si>
  <si>
    <t>Kaiware, Purple Microgreens</t>
  </si>
  <si>
    <t>Leeks</t>
  </si>
  <si>
    <t>1 ct.</t>
  </si>
  <si>
    <t>Lions Mane Mushrooms</t>
  </si>
  <si>
    <t>Mini Sweet Mix Bell Peppers</t>
  </si>
  <si>
    <t>Mix of  Comice/D'Anjou</t>
  </si>
  <si>
    <t>Nantes Carrots</t>
  </si>
  <si>
    <t>Oyster Mushrooms</t>
  </si>
  <si>
    <t>Parsnips</t>
  </si>
  <si>
    <t>Pea Shoot Microgreens</t>
  </si>
  <si>
    <t>Pink Lady Apple</t>
  </si>
  <si>
    <t>Pink Raspberries</t>
  </si>
  <si>
    <t>Portabella Mushrooms</t>
  </si>
  <si>
    <t>Purple potatoes</t>
  </si>
  <si>
    <t>Rainer Cherries (WA)</t>
  </si>
  <si>
    <t>Red Bartlett Pears</t>
  </si>
  <si>
    <t>Red Cabbage</t>
  </si>
  <si>
    <t>Red Currant Berries</t>
  </si>
  <si>
    <t>Red D'Anjou Pears</t>
  </si>
  <si>
    <t>Red Mustard Mizuna</t>
  </si>
  <si>
    <t>Red Potatoes (Idaho)</t>
  </si>
  <si>
    <t>Red Raspberries</t>
  </si>
  <si>
    <t>Russet potatoes (CA)</t>
  </si>
  <si>
    <t>Rutabega</t>
  </si>
  <si>
    <t>Savoy Cabbage</t>
  </si>
  <si>
    <t>Shallots</t>
  </si>
  <si>
    <t>Shiitake Mushrooms</t>
  </si>
  <si>
    <t>Soft-neck Garlic ( CA )</t>
  </si>
  <si>
    <t>Sugarloaf Chicory</t>
  </si>
  <si>
    <t>Sunchokes</t>
  </si>
  <si>
    <t>Sungold Cherry Tomato Pint</t>
  </si>
  <si>
    <t>Sweet Onion</t>
  </si>
  <si>
    <t>Tatsoi</t>
  </si>
  <si>
    <t>Watercress</t>
  </si>
  <si>
    <t>White Onion</t>
  </si>
  <si>
    <t>Brazil Cerrado Miniero - Dark Roast Coffee Beans</t>
  </si>
  <si>
    <t>Radiant Coffee Roasters</t>
  </si>
  <si>
    <t>Brazil Cerrado Miniero - Dark Roast Ground Coffee</t>
  </si>
  <si>
    <t>Radiant Balanced Blend - Medium Roast Coffee Beans</t>
  </si>
  <si>
    <t>Radiant Balanced Blend - Medium Roast Ground Coffee</t>
  </si>
  <si>
    <t>Radiant Breakfast Blend - Light Roast Coffee Beans</t>
  </si>
  <si>
    <t>Radiant Breakfast Blend - Light Roast Ground Coffee</t>
  </si>
  <si>
    <t>Radiant Decaf Columbia Coffee Beans</t>
  </si>
  <si>
    <t>Radiant Decaf Columbia Ground Coffee</t>
  </si>
  <si>
    <t>Radiant Midnight Blend - Dark Roast Coffee Beans</t>
  </si>
  <si>
    <t>Radiant Midnight Blend - Dark Roast Ground Coffee</t>
  </si>
  <si>
    <t>Radiant Roasters Chiapas Mexico Light Roast Coffee Beans</t>
  </si>
  <si>
    <t>Radiant Roasters Chiapas Mexico Light Roast Ground Coffee</t>
  </si>
  <si>
    <t>Braided Challah (plain)</t>
  </si>
  <si>
    <t>Reality Kitchen Nonprofit</t>
  </si>
  <si>
    <t>Braided Challah (seeded)</t>
  </si>
  <si>
    <t>Challah Sandwich Loaf</t>
  </si>
  <si>
    <t>Sourdough Rye Sandwich Loaf</t>
  </si>
  <si>
    <t>Wholewheat Multigrain Sandwich Loaf</t>
  </si>
  <si>
    <t>Ambition Shallots</t>
  </si>
  <si>
    <t>Red Tail Growers</t>
  </si>
  <si>
    <t>Arugula</t>
  </si>
  <si>
    <t>Baby Mustard Salad Mix</t>
  </si>
  <si>
    <t>Bietola</t>
  </si>
  <si>
    <t>Bietola/chard mix</t>
  </si>
  <si>
    <t>Braising Chicories</t>
  </si>
  <si>
    <t>Braising mix (chard and kale)</t>
  </si>
  <si>
    <t>Candy Sweet Onion</t>
  </si>
  <si>
    <t>Castelfranco Radicchio</t>
  </si>
  <si>
    <t>Castlefranco Chicory Head</t>
  </si>
  <si>
    <t>Chive Flower</t>
  </si>
  <si>
    <t>Curly Endive</t>
  </si>
  <si>
    <t>Dandelion</t>
  </si>
  <si>
    <t>Dandelion, Red</t>
  </si>
  <si>
    <t>Delfino Cilantro</t>
  </si>
  <si>
    <t>Escarole</t>
  </si>
  <si>
    <t>Flowering Chervil</t>
  </si>
  <si>
    <t>Fresh Chives</t>
  </si>
  <si>
    <t>Green  Leaf Lettuce</t>
  </si>
  <si>
    <t>Green Garlic</t>
  </si>
  <si>
    <t>Green Romaine Little Gem</t>
  </si>
  <si>
    <t>1 Lb.</t>
  </si>
  <si>
    <t>Iceberg Lettuce</t>
  </si>
  <si>
    <t>Italian Frying Pepper</t>
  </si>
  <si>
    <t>Kale Mix</t>
  </si>
  <si>
    <t>Kale Sprouts Half Stalk</t>
  </si>
  <si>
    <t>Common proposed price for existing customer lists, including SNAP; Current list prices range $5.60–$6.20; baseline is Herd Share Members; No approved Square match; Square price left blank</t>
  </si>
  <si>
    <t>Leek Scapes</t>
  </si>
  <si>
    <t>Common proposed price for existing customer lists, including SNAP; Current list prices range $2.80–$3.10; baseline is Herd Share Members; No approved Square match; Square price left blank</t>
  </si>
  <si>
    <t>Little Gem Mix</t>
  </si>
  <si>
    <t>Marjoram</t>
  </si>
  <si>
    <t>Mini  kubuchas</t>
  </si>
  <si>
    <t>Mini Salanova Lettuce Heads (mixed colors and types)</t>
  </si>
  <si>
    <t>Mixed Bok Choi and Mustard Raab</t>
  </si>
  <si>
    <t>Napa Cabbage</t>
  </si>
  <si>
    <t>Orange Kabocha Squash</t>
  </si>
  <si>
    <t>Purple and Green Broccolini</t>
  </si>
  <si>
    <t>Radicchio Treviso</t>
  </si>
  <si>
    <t>Red Chard</t>
  </si>
  <si>
    <t>Red Leaf Lettuce</t>
  </si>
  <si>
    <t>Red Little Gem Lettuce</t>
  </si>
  <si>
    <t>Red Radicchio</t>
  </si>
  <si>
    <t>Red Radish</t>
  </si>
  <si>
    <t>Red Tail Fall Salad  Mix</t>
  </si>
  <si>
    <t>1/2 lb. bag</t>
  </si>
  <si>
    <t>Salad Chicory Mix</t>
  </si>
  <si>
    <t>Siberian Kale</t>
  </si>
  <si>
    <t>Sweet Salad Turnips</t>
  </si>
  <si>
    <t>Taragon</t>
  </si>
  <si>
    <t>White Russian Kale</t>
  </si>
  <si>
    <t>Young Chicory</t>
  </si>
  <si>
    <t>2025 Arbequina  Olive Oil 100mL</t>
  </si>
  <si>
    <t>River Ranch Oregon Olive OIl</t>
  </si>
  <si>
    <t>Ea.</t>
  </si>
  <si>
    <t>2025 Arbequina  Olive Oil 250mL</t>
  </si>
  <si>
    <t>Colliding Rivers Olive Oil Sugar Scrub</t>
  </si>
  <si>
    <t>ea 4 oz jar</t>
  </si>
  <si>
    <t>Dry Herb Mix</t>
  </si>
  <si>
    <t>ea 1 ounce jar</t>
  </si>
  <si>
    <t>Flavor Infused Olive Oil- Garlic 100mL</t>
  </si>
  <si>
    <t>3.38 oz. 100mL</t>
  </si>
  <si>
    <t>Flavor Infused Olive Oil- Garlic 250mL</t>
  </si>
  <si>
    <t>250mL</t>
  </si>
  <si>
    <t>Flavor Infused Olive Oil- Rosemary and Basil 100mL</t>
  </si>
  <si>
    <t>3.38oz (100mL)</t>
  </si>
  <si>
    <t>Flavor Infused Olive Oil- Rosemary and Basil 250mL</t>
  </si>
  <si>
    <t>Lavender Olive Oil Sugar Scrub</t>
  </si>
  <si>
    <t>ea  4oz. jar</t>
  </si>
  <si>
    <t>Morning Mist Olive Oil Sugar Scrub</t>
  </si>
  <si>
    <t>Summer Day Olive Oil Sugar Scrub</t>
  </si>
  <si>
    <t>Breaking Point Iris Rhizome</t>
  </si>
  <si>
    <t>RL Plants &amp; Home Goods</t>
  </si>
  <si>
    <t>Dark Purple Iris Rhizome</t>
  </si>
  <si>
    <t>Desert Trails Iris Rhizome</t>
  </si>
  <si>
    <t>DOXIE DOODLES - 2011 Standard Dwarf Bearded Iris - Fragrant (rhizome)</t>
  </si>
  <si>
    <t>Fall Decor- Iris Rhizome</t>
  </si>
  <si>
    <t>Giddy Iris Rhizome (Standard Dwarf Bearded)</t>
  </si>
  <si>
    <t>Handcrafted 4x4 Rustic Wood Double Tea Candle Holder</t>
  </si>
  <si>
    <t>Handcrafted 4x4 Rustic Wood Tea Candle Holder</t>
  </si>
  <si>
    <t>Handcrafted Birch Holder</t>
  </si>
  <si>
    <t>Handcrafted Cedar Coasters</t>
  </si>
  <si>
    <t>2 pack</t>
  </si>
  <si>
    <t>5 pack</t>
  </si>
  <si>
    <t>Handcrafted Rustic Cedar Coasters</t>
  </si>
  <si>
    <t>2 Pack</t>
  </si>
  <si>
    <t>5 Pack</t>
  </si>
  <si>
    <t>Handmade Birch Wood Coasters –Set of 2</t>
  </si>
  <si>
    <t>Handmade Cedar Catch-All Tray – Rustic Ring Dish &amp; Coin Holder</t>
  </si>
  <si>
    <t>Handmade Wooden Industrial Style 4"x6" Catch-all Tray</t>
  </si>
  <si>
    <t>Hen and Chicks Succulents</t>
  </si>
  <si>
    <t>I'm Back Iris Rhizome</t>
  </si>
  <si>
    <t>Lemon Balm</t>
  </si>
  <si>
    <t>Local Color Iris Rhizome</t>
  </si>
  <si>
    <t>Open Your Eyes- Iris Rhizome</t>
  </si>
  <si>
    <t>Pepi Dwarf Iris Rhizome</t>
  </si>
  <si>
    <t>Radiant Garb Iris Rhizome</t>
  </si>
  <si>
    <t>Raspberry Swirl - 2009 Tall Bearded Iris - Stunning Award Winner (Rhizome)</t>
  </si>
  <si>
    <t>Sedum Palmeri Succulents</t>
  </si>
  <si>
    <t>Sedum Rupestre "Blue Spruce"</t>
  </si>
  <si>
    <t>Spice Lord Iris Rhizome (Bulb)</t>
  </si>
  <si>
    <t>Tanzanian Tangerine Iris Rhizome (Bulb)</t>
  </si>
  <si>
    <t>Trumped Iris Rhizome (Bulb)</t>
  </si>
  <si>
    <t>Vintage Vibe Award Winner Iris Rhizome</t>
  </si>
  <si>
    <t>Yellow Iris Rhizome</t>
  </si>
  <si>
    <t>Ziggy Award Winner Iris Rhizome</t>
  </si>
  <si>
    <t>VIRGO GLOW (Whipped Tallow - skin care) 9 oz glass jar</t>
  </si>
  <si>
    <t>Sabrooxel's Alchemy</t>
  </si>
  <si>
    <t>9 oz. ea</t>
  </si>
  <si>
    <t>VIRGO GLOW (WhippedTallow - skin care) 4 oz glass jar</t>
  </si>
  <si>
    <t>Small is Beautiful Farm</t>
  </si>
  <si>
    <t>Bartlett Pears</t>
  </si>
  <si>
    <t>Braising Green Bundle</t>
  </si>
  <si>
    <t>Chunks of Sweetmeat Squash</t>
  </si>
  <si>
    <t>Cut Flower Bouquet</t>
  </si>
  <si>
    <t>Desert King Fig</t>
  </si>
  <si>
    <t>Dried Heirloom Tomatoes</t>
  </si>
  <si>
    <t>2 oz bag</t>
  </si>
  <si>
    <t>German Butterball Potatoes</t>
  </si>
  <si>
    <t>Green Seedless Table Grapes</t>
  </si>
  <si>
    <t>Honey Plum</t>
  </si>
  <si>
    <t>Leek</t>
  </si>
  <si>
    <t>1</t>
  </si>
  <si>
    <t>Mix Apples</t>
  </si>
  <si>
    <t>Mixed Apple "Seconds"</t>
  </si>
  <si>
    <t>Mixed Dried Fruit</t>
  </si>
  <si>
    <t>1/2 Lb. bag</t>
  </si>
  <si>
    <t>Persimmon</t>
  </si>
  <si>
    <t>Popping Corn</t>
  </si>
  <si>
    <t>Prune Plum</t>
  </si>
  <si>
    <t>Red Onion</t>
  </si>
  <si>
    <t>Shiro plums</t>
  </si>
  <si>
    <t>dozen</t>
  </si>
  <si>
    <t>Sweet Gypsy Red Peppers</t>
  </si>
  <si>
    <t>Winter Beets</t>
  </si>
  <si>
    <t>Winter Salad Mix</t>
  </si>
  <si>
    <t>Yellow Onion</t>
  </si>
  <si>
    <t>Apricot Fruit Spread</t>
  </si>
  <si>
    <t>Sweet Creek</t>
  </si>
  <si>
    <t>10 oz</t>
  </si>
  <si>
    <t>Basil Tomato Sauce</t>
  </si>
  <si>
    <t>Blackberry Fruit Spread</t>
  </si>
  <si>
    <t>Blueberry Apple Sauce</t>
  </si>
  <si>
    <t>Blueberry Fruit Spread</t>
  </si>
  <si>
    <t>Chipotle Enchilada Sauce</t>
  </si>
  <si>
    <t>16 oz ea</t>
  </si>
  <si>
    <t>Cinnamon Apple Sauce</t>
  </si>
  <si>
    <t>32 oz</t>
  </si>
  <si>
    <t>Dill Relish</t>
  </si>
  <si>
    <t>Enchilada Red Sauce, Medium</t>
  </si>
  <si>
    <t>Green Enchilada Sauce</t>
  </si>
  <si>
    <t>Hot Red Enchilada Sauce</t>
  </si>
  <si>
    <t>Jalapeno Relish</t>
  </si>
  <si>
    <t>Just Apple Apple Sauce</t>
  </si>
  <si>
    <t>Mushroom Tomato Sauce</t>
  </si>
  <si>
    <t>Paul's Dill Pickles</t>
  </si>
  <si>
    <t>Pickled Beets</t>
  </si>
  <si>
    <t>Pickled Jalapenos</t>
  </si>
  <si>
    <t>Raspberry Fruit Spread</t>
  </si>
  <si>
    <t>Roasted Garlic Tomato Sauce</t>
  </si>
  <si>
    <t>Salsa, Hot</t>
  </si>
  <si>
    <t>Salsa, Medium</t>
  </si>
  <si>
    <t>Strawberry Fruit Spread</t>
  </si>
  <si>
    <t>Sweet Relish</t>
  </si>
  <si>
    <t>Tomatillo Salsa</t>
  </si>
  <si>
    <t>Green Onion/Scallions</t>
  </si>
  <si>
    <t>Winter Green Farm</t>
  </si>
  <si>
    <t>Pink Beauty Radish</t>
  </si>
  <si>
    <t>Purple Daikon Radish</t>
  </si>
  <si>
    <t>1 pound</t>
  </si>
  <si>
    <t>Red Baltic Rose Potatoes</t>
  </si>
  <si>
    <t>Red Skinned Daikon Radish</t>
  </si>
  <si>
    <t>Spring Onion Bunch</t>
  </si>
  <si>
    <t>Yellow Potatoes (Canada Gold)</t>
  </si>
</sst>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00;[Red]-$#,##0.00"/>
    <numFmt numFmtId="61" formatCode="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60" fontId="0" fillId="0" borderId="0" xfId="0" applyNumberFormat="1"/>
    <xf numFmtId="10" fontId="0" fillId="0" borderId="0" xfId="0" applyNumberFormat="1"/>
    <xf numFmtId="61"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AE848"/>
  <sheetViews>
    <sheetView workbookViewId="0"/>
  </sheetViews>
  <cols>
    <col min="1" max="1" width="16.83203125" customWidth="1"/>
    <col min="2" max="2" width="20.83203125" customWidth="1"/>
    <col min="3" max="3" width="41.83203125" customWidth="1"/>
    <col min="4" max="4" width="24.83203125" customWidth="1"/>
    <col min="5" max="5" width="22.83203125" customWidth="1"/>
    <col min="6" max="6" width="22.83203125" customWidth="1"/>
    <col min="7" max="7" width="22.83203125" customWidth="1"/>
    <col min="8" max="8" width="29.83203125" customWidth="1"/>
    <col min="9" max="9" width="25.83203125" customWidth="1"/>
    <col min="10" max="10" width="29.83203125" customWidth="1"/>
    <col min="11" max="11" width="23.83203125" customWidth="1"/>
    <col min="12" max="12" width="32.83203125" customWidth="1"/>
    <col min="13" max="13" width="19.83203125" customWidth="1"/>
    <col min="14" max="14" width="22.83203125" customWidth="1"/>
    <col min="15" max="15" width="23.83203125" customWidth="1"/>
    <col min="16" max="16" width="29.83203125" customWidth="1"/>
    <col min="17" max="17" width="18.83203125" customWidth="1"/>
    <col min="18" max="18" width="38.83203125" customWidth="1"/>
    <col min="19" max="19" width="18.83203125" customWidth="1"/>
    <col min="20" max="20" width="23.83203125" customWidth="1"/>
    <col min="21" max="21" width="27.83203125" customWidth="1"/>
    <col min="22" max="22" width="30.83203125" customWidth="1"/>
    <col min="23" max="23" width="36.83203125" customWidth="1"/>
    <col min="24" max="24" width="52.83203125" customWidth="1"/>
    <col min="25" max="25" width="32.83203125" customWidth="1"/>
    <col min="26" max="26" width="26.83203125" customWidth="1"/>
    <col min="27" max="27" width="30.83203125" customWidth="1"/>
    <col min="28" max="28" width="62.83203125" customWidth="1"/>
    <col min="29" max="29" width="80.83203125" customWidth="1"/>
    <col min="30" max="30" width="14.83203125" customWidth="1"/>
    <col min="31" max="31" width="58.83203125" customWidth="1"/>
  </cols>
  <sheetData>
    <row r="1" ht="20" customHeight="1">
      <c r="A1" t="s">
        <v>0</v>
      </c>
    </row>
    <row r="2" ht="20" customHeight="1">
      <c r="A2" t="s">
        <v>1</v>
      </c>
    </row>
    <row r="3" ht="20" customHeight="1">
      <c r="A3" t="s">
        <v>2</v>
      </c>
    </row>
    <row r="4" ht="20" customHeight="1">
      <c r="A4" t="s">
        <v>3</v>
      </c>
    </row>
    <row r="5" ht="32" customHeight="1">
      <c r="A5" t="s">
        <v>4</v>
      </c>
      <c r="B5" t="s">
        <v>5</v>
      </c>
      <c r="C5" t="s">
        <v>6</v>
      </c>
      <c r="D5" t="s">
        <v>7</v>
      </c>
      <c r="E5" t="s">
        <v>8</v>
      </c>
      <c r="F5" t="s">
        <v>9</v>
      </c>
      <c r="G5" t="s">
        <v>10</v>
      </c>
      <c r="H5" t="s">
        <v>11</v>
      </c>
      <c r="I5" t="s">
        <v>12</v>
      </c>
      <c r="J5" t="s">
        <v>13</v>
      </c>
      <c r="K5" t="s">
        <v>14</v>
      </c>
      <c r="L5" t="s">
        <v>15</v>
      </c>
      <c r="M5" t="s">
        <v>16</v>
      </c>
      <c r="N5" t="s">
        <v>17</v>
      </c>
      <c r="O5" t="s">
        <v>18</v>
      </c>
      <c r="P5" t="s">
        <v>19</v>
      </c>
      <c r="Q5" t="s">
        <v>20</v>
      </c>
      <c r="R5" t="s">
        <v>21</v>
      </c>
      <c r="S5" t="s">
        <v>22</v>
      </c>
      <c r="T5" t="s">
        <v>23</v>
      </c>
      <c r="U5" t="s">
        <v>24</v>
      </c>
      <c r="V5" t="s">
        <v>25</v>
      </c>
      <c r="W5" t="s">
        <v>26</v>
      </c>
      <c r="X5" t="s">
        <v>27</v>
      </c>
      <c r="Y5" t="s">
        <v>28</v>
      </c>
      <c r="Z5" t="s">
        <v>29</v>
      </c>
      <c r="AA5" t="s">
        <v>30</v>
      </c>
      <c r="AB5" t="s">
        <v>31</v>
      </c>
      <c r="AC5" t="s">
        <v>32</v>
      </c>
      <c r="AD5" t="s">
        <v>33</v>
      </c>
      <c r="AE5" t="s">
        <v>34</v>
      </c>
    </row>
    <row r="6">
      <c r="A6">
        <v>806020</v>
      </c>
      <c r="B6">
        <v>806020</v>
      </c>
      <c r="C6" t="s">
        <v>35</v>
      </c>
      <c r="D6" t="s">
        <v>36</v>
      </c>
      <c r="E6" t="s">
        <v>37</v>
      </c>
      <c r="F6" s="1">
        <v>3.34</v>
      </c>
      <c r="G6" s="2">
        <v>0.4</v>
      </c>
      <c r="H6" s="2">
        <v>0.512</v>
      </c>
      <c r="I6" s="1">
        <v>4.68</v>
      </c>
      <c r="J6" s="1">
        <f>IF(AND(ISNUMBER(F6),ISNUMBER(H6)),ROUND(F6*(1+H6),2),"")</f>
        <v>5.05</v>
      </c>
      <c r="K6" s="2">
        <f>IF(AND(ISNUMBER(I6),I6&gt;0,ISNUMBER(J6)),J6/I6-1,"")</f>
        <v>0.079059829059829</v>
      </c>
      <c r="L6" t="s">
        <v>38</v>
      </c>
      <c r="N6" s="1" t="s">
        <f>IF(AND(ISNUMBER(U6),U6&gt;0,ISNUMBER(J6)),ROUND(J6/U6,2),"")</f>
        <v>39</v>
      </c>
      <c r="Q6" t="s">
        <v>40</v>
      </c>
      <c r="R6" t="s">
        <v>39</v>
      </c>
      <c r="S6">
        <v>527082</v>
      </c>
      <c r="T6">
        <v>527082</v>
      </c>
      <c r="X6" t="s">
        <v>41</v>
      </c>
      <c r="Z6" s="1">
        <v>4.68</v>
      </c>
      <c r="AA6" s="1">
        <f>IF(AND(ISNUMBER(Z6),ISNUMBER(I6),I6&gt;0,ISNUMBER(J6)),ROUND(Z6*J6/I6,2),"")</f>
        <v>5.05</v>
      </c>
      <c r="AB6" t="s">
        <v>42</v>
      </c>
      <c r="AC6" t="s">
        <v>43</v>
      </c>
      <c r="AD6" t="s">
        <v>44</v>
      </c>
      <c r="AE6" t="s">
        <v>45</v>
      </c>
    </row>
    <row r="7">
      <c r="A7">
        <v>821597</v>
      </c>
      <c r="B7">
        <v>821597</v>
      </c>
      <c r="C7" t="s">
        <v>46</v>
      </c>
      <c r="D7" t="s">
        <v>36</v>
      </c>
      <c r="E7" t="s">
        <v>47</v>
      </c>
      <c r="F7" s="1">
        <v>3.34</v>
      </c>
      <c r="G7" s="2">
        <v>0.4</v>
      </c>
      <c r="H7" s="2">
        <v>0.512</v>
      </c>
      <c r="I7" s="1">
        <v>4.68</v>
      </c>
      <c r="J7" s="1">
        <f>IF(AND(ISNUMBER(F7),ISNUMBER(H7)),ROUND(F7*(1+H7),2),"")</f>
        <v>5.05</v>
      </c>
      <c r="K7" s="2">
        <f>IF(AND(ISNUMBER(I7),I7&gt;0,ISNUMBER(J7)),J7/I7-1,"")</f>
        <v>0.079059829059829</v>
      </c>
      <c r="L7" t="s">
        <v>38</v>
      </c>
      <c r="N7" s="1" t="s">
        <f>IF(AND(ISNUMBER(U7),U7&gt;0,ISNUMBER(J7)),ROUND(J7/U7,2),"")</f>
        <v>39</v>
      </c>
      <c r="Q7" t="s">
        <v>40</v>
      </c>
      <c r="R7" t="s">
        <v>39</v>
      </c>
      <c r="S7">
        <v>544654</v>
      </c>
      <c r="T7">
        <v>544654</v>
      </c>
      <c r="X7" t="s">
        <v>41</v>
      </c>
      <c r="Z7" s="1">
        <v>4.68</v>
      </c>
      <c r="AA7" s="1">
        <f>IF(AND(ISNUMBER(Z7),ISNUMBER(I7),I7&gt;0,ISNUMBER(J7)),ROUND(Z7*J7/I7,2),"")</f>
        <v>5.05</v>
      </c>
      <c r="AB7" t="s">
        <v>42</v>
      </c>
      <c r="AC7" t="s">
        <v>43</v>
      </c>
      <c r="AD7" t="s">
        <v>48</v>
      </c>
      <c r="AE7" t="s">
        <v>45</v>
      </c>
    </row>
    <row r="8">
      <c r="A8">
        <v>806023</v>
      </c>
      <c r="B8">
        <v>806023</v>
      </c>
      <c r="C8" t="s">
        <v>49</v>
      </c>
      <c r="D8" t="s">
        <v>36</v>
      </c>
      <c r="E8" t="s">
        <v>37</v>
      </c>
      <c r="F8" s="1">
        <v>3.75</v>
      </c>
      <c r="G8" s="2">
        <v>0.4</v>
      </c>
      <c r="H8" s="2">
        <v>0.512</v>
      </c>
      <c r="I8" s="1">
        <v>5.25</v>
      </c>
      <c r="J8" s="1">
        <f>IF(AND(ISNUMBER(F8),ISNUMBER(H8)),ROUND(F8*(1+H8),2),"")</f>
        <v>5.67</v>
      </c>
      <c r="K8" s="2">
        <f>IF(AND(ISNUMBER(I8),I8&gt;0,ISNUMBER(J8)),J8/I8-1,"")</f>
        <v>0.08000000000000007</v>
      </c>
      <c r="L8" t="s">
        <v>38</v>
      </c>
      <c r="N8" s="1" t="s">
        <f>IF(AND(ISNUMBER(U8),U8&gt;0,ISNUMBER(J8)),ROUND(J8/U8,2),"")</f>
        <v>39</v>
      </c>
      <c r="Q8" t="s">
        <v>40</v>
      </c>
      <c r="R8" t="s">
        <v>39</v>
      </c>
      <c r="S8">
        <v>527085</v>
      </c>
      <c r="T8">
        <v>527085</v>
      </c>
      <c r="X8" t="s">
        <v>41</v>
      </c>
      <c r="Z8" s="1">
        <v>5.25</v>
      </c>
      <c r="AA8" s="1">
        <f>IF(AND(ISNUMBER(Z8),ISNUMBER(I8),I8&gt;0,ISNUMBER(J8)),ROUND(Z8*J8/I8,2),"")</f>
        <v>5.67</v>
      </c>
      <c r="AB8" t="s">
        <v>42</v>
      </c>
      <c r="AC8" t="s">
        <v>43</v>
      </c>
      <c r="AD8" t="s">
        <v>44</v>
      </c>
      <c r="AE8" t="s">
        <v>45</v>
      </c>
    </row>
    <row r="9">
      <c r="A9">
        <v>806027</v>
      </c>
      <c r="B9">
        <v>806027</v>
      </c>
      <c r="C9" t="s">
        <v>50</v>
      </c>
      <c r="D9" t="s">
        <v>36</v>
      </c>
      <c r="E9" t="s">
        <v>37</v>
      </c>
      <c r="F9" s="1">
        <v>3.34</v>
      </c>
      <c r="G9" s="2">
        <v>0.4</v>
      </c>
      <c r="H9" s="2">
        <v>0.512</v>
      </c>
      <c r="I9" s="1">
        <v>4.68</v>
      </c>
      <c r="J9" s="1">
        <f>IF(AND(ISNUMBER(F9),ISNUMBER(H9)),ROUND(F9*(1+H9),2),"")</f>
        <v>5.05</v>
      </c>
      <c r="K9" s="2">
        <f>IF(AND(ISNUMBER(I9),I9&gt;0,ISNUMBER(J9)),J9/I9-1,"")</f>
        <v>0.079059829059829</v>
      </c>
      <c r="L9" t="s">
        <v>38</v>
      </c>
      <c r="N9" s="1" t="s">
        <f>IF(AND(ISNUMBER(U9),U9&gt;0,ISNUMBER(J9)),ROUND(J9/U9,2),"")</f>
        <v>39</v>
      </c>
      <c r="Q9" t="s">
        <v>40</v>
      </c>
      <c r="R9" t="s">
        <v>39</v>
      </c>
      <c r="S9">
        <v>527089</v>
      </c>
      <c r="T9">
        <v>527089</v>
      </c>
      <c r="X9" t="s">
        <v>41</v>
      </c>
      <c r="Z9" s="1">
        <v>4.68</v>
      </c>
      <c r="AA9" s="1">
        <f>IF(AND(ISNUMBER(Z9),ISNUMBER(I9),I9&gt;0,ISNUMBER(J9)),ROUND(Z9*J9/I9,2),"")</f>
        <v>5.05</v>
      </c>
      <c r="AB9" t="s">
        <v>42</v>
      </c>
      <c r="AC9" t="s">
        <v>43</v>
      </c>
      <c r="AD9" t="s">
        <v>48</v>
      </c>
      <c r="AE9" t="s">
        <v>45</v>
      </c>
    </row>
    <row r="10">
      <c r="A10">
        <v>806031</v>
      </c>
      <c r="B10">
        <v>806031</v>
      </c>
      <c r="C10" t="s">
        <v>51</v>
      </c>
      <c r="D10" t="s">
        <v>36</v>
      </c>
      <c r="E10" t="s">
        <v>37</v>
      </c>
      <c r="F10" s="1">
        <v>3.34</v>
      </c>
      <c r="G10" s="2">
        <v>0.4</v>
      </c>
      <c r="H10" s="2">
        <v>0.512</v>
      </c>
      <c r="I10" s="1">
        <v>4.68</v>
      </c>
      <c r="J10" s="1">
        <f>IF(AND(ISNUMBER(F10),ISNUMBER(H10)),ROUND(F10*(1+H10),2),"")</f>
        <v>5.05</v>
      </c>
      <c r="K10" s="2">
        <f>IF(AND(ISNUMBER(I10),I10&gt;0,ISNUMBER(J10)),J10/I10-1,"")</f>
        <v>0.079059829059829</v>
      </c>
      <c r="L10" t="s">
        <v>38</v>
      </c>
      <c r="N10" s="1" t="s">
        <f>IF(AND(ISNUMBER(U10),U10&gt;0,ISNUMBER(J10)),ROUND(J10/U10,2),"")</f>
        <v>39</v>
      </c>
      <c r="Q10" t="s">
        <v>40</v>
      </c>
      <c r="R10" t="s">
        <v>39</v>
      </c>
      <c r="S10">
        <v>527093</v>
      </c>
      <c r="T10">
        <v>527093</v>
      </c>
      <c r="X10" t="s">
        <v>41</v>
      </c>
      <c r="Z10" s="1">
        <v>4.68</v>
      </c>
      <c r="AA10" s="1">
        <f>IF(AND(ISNUMBER(Z10),ISNUMBER(I10),I10&gt;0,ISNUMBER(J10)),ROUND(Z10*J10/I10,2),"")</f>
        <v>5.05</v>
      </c>
      <c r="AB10" t="s">
        <v>42</v>
      </c>
      <c r="AC10" t="s">
        <v>43</v>
      </c>
      <c r="AD10" t="s">
        <v>44</v>
      </c>
      <c r="AE10" t="s">
        <v>45</v>
      </c>
    </row>
    <row r="11">
      <c r="A11">
        <v>806034</v>
      </c>
      <c r="B11">
        <v>806034</v>
      </c>
      <c r="C11" t="s">
        <v>52</v>
      </c>
      <c r="D11" t="s">
        <v>36</v>
      </c>
      <c r="E11" t="s">
        <v>53</v>
      </c>
      <c r="F11" s="1">
        <v>3.34</v>
      </c>
      <c r="G11" s="2">
        <v>0.4</v>
      </c>
      <c r="H11" s="2">
        <v>0.512</v>
      </c>
      <c r="I11" s="1">
        <v>4.68</v>
      </c>
      <c r="J11" s="1">
        <f>IF(AND(ISNUMBER(F11),ISNUMBER(H11)),ROUND(F11*(1+H11),2),"")</f>
        <v>5.05</v>
      </c>
      <c r="K11" s="2">
        <f>IF(AND(ISNUMBER(I11),I11&gt;0,ISNUMBER(J11)),J11/I11-1,"")</f>
        <v>0.079059829059829</v>
      </c>
      <c r="L11" t="s">
        <v>38</v>
      </c>
      <c r="N11" s="1" t="s">
        <f>IF(AND(ISNUMBER(U11),U11&gt;0,ISNUMBER(J11)),ROUND(J11/U11,2),"")</f>
        <v>39</v>
      </c>
      <c r="Q11" t="s">
        <v>40</v>
      </c>
      <c r="R11" t="s">
        <v>39</v>
      </c>
      <c r="S11">
        <v>527096</v>
      </c>
      <c r="T11">
        <v>527096</v>
      </c>
      <c r="X11" t="s">
        <v>41</v>
      </c>
      <c r="Z11" s="1">
        <v>4.68</v>
      </c>
      <c r="AA11" s="1">
        <f>IF(AND(ISNUMBER(Z11),ISNUMBER(I11),I11&gt;0,ISNUMBER(J11)),ROUND(Z11*J11/I11,2),"")</f>
        <v>5.05</v>
      </c>
      <c r="AB11" t="s">
        <v>42</v>
      </c>
      <c r="AC11" t="s">
        <v>43</v>
      </c>
      <c r="AD11" t="s">
        <v>44</v>
      </c>
      <c r="AE11" t="s">
        <v>45</v>
      </c>
    </row>
    <row r="12">
      <c r="A12">
        <v>806036</v>
      </c>
      <c r="B12">
        <v>806036</v>
      </c>
      <c r="C12" t="s">
        <v>54</v>
      </c>
      <c r="D12" t="s">
        <v>36</v>
      </c>
      <c r="E12" t="s">
        <v>37</v>
      </c>
      <c r="F12" s="1">
        <v>3.34</v>
      </c>
      <c r="G12" s="2">
        <v>0.4</v>
      </c>
      <c r="H12" s="2">
        <v>0.512</v>
      </c>
      <c r="I12" s="1">
        <v>4.68</v>
      </c>
      <c r="J12" s="1">
        <f>IF(AND(ISNUMBER(F12),ISNUMBER(H12)),ROUND(F12*(1+H12),2),"")</f>
        <v>5.05</v>
      </c>
      <c r="K12" s="2">
        <f>IF(AND(ISNUMBER(I12),I12&gt;0,ISNUMBER(J12)),J12/I12-1,"")</f>
        <v>0.079059829059829</v>
      </c>
      <c r="L12" t="s">
        <v>38</v>
      </c>
      <c r="N12" s="1" t="s">
        <f>IF(AND(ISNUMBER(U12),U12&gt;0,ISNUMBER(J12)),ROUND(J12/U12,2),"")</f>
        <v>39</v>
      </c>
      <c r="Q12" t="s">
        <v>40</v>
      </c>
      <c r="R12" t="s">
        <v>39</v>
      </c>
      <c r="S12">
        <v>527098</v>
      </c>
      <c r="T12">
        <v>527098</v>
      </c>
      <c r="X12" t="s">
        <v>41</v>
      </c>
      <c r="Z12" s="1">
        <v>4.68</v>
      </c>
      <c r="AA12" s="1">
        <f>IF(AND(ISNUMBER(Z12),ISNUMBER(I12),I12&gt;0,ISNUMBER(J12)),ROUND(Z12*J12/I12,2),"")</f>
        <v>5.05</v>
      </c>
      <c r="AB12" t="s">
        <v>42</v>
      </c>
      <c r="AC12" t="s">
        <v>43</v>
      </c>
      <c r="AD12" t="s">
        <v>44</v>
      </c>
      <c r="AE12" t="s">
        <v>45</v>
      </c>
    </row>
    <row r="13">
      <c r="A13">
        <v>806040</v>
      </c>
      <c r="B13">
        <v>806040</v>
      </c>
      <c r="C13" t="s">
        <v>55</v>
      </c>
      <c r="D13" t="s">
        <v>36</v>
      </c>
      <c r="E13" t="s">
        <v>37</v>
      </c>
      <c r="F13" s="1">
        <v>3.34</v>
      </c>
      <c r="G13" s="2">
        <v>0.4</v>
      </c>
      <c r="H13" s="2">
        <v>0.512</v>
      </c>
      <c r="I13" s="1">
        <v>4.68</v>
      </c>
      <c r="J13" s="1">
        <f>IF(AND(ISNUMBER(F13),ISNUMBER(H13)),ROUND(F13*(1+H13),2),"")</f>
        <v>5.05</v>
      </c>
      <c r="K13" s="2">
        <f>IF(AND(ISNUMBER(I13),I13&gt;0,ISNUMBER(J13)),J13/I13-1,"")</f>
        <v>0.079059829059829</v>
      </c>
      <c r="L13" t="s">
        <v>38</v>
      </c>
      <c r="N13" s="1" t="s">
        <f>IF(AND(ISNUMBER(U13),U13&gt;0,ISNUMBER(J13)),ROUND(J13/U13,2),"")</f>
        <v>39</v>
      </c>
      <c r="Q13" t="s">
        <v>40</v>
      </c>
      <c r="R13" t="s">
        <v>39</v>
      </c>
      <c r="S13">
        <v>527102</v>
      </c>
      <c r="T13">
        <v>527102</v>
      </c>
      <c r="X13" t="s">
        <v>41</v>
      </c>
      <c r="Z13" s="1">
        <v>4.68</v>
      </c>
      <c r="AA13" s="1">
        <f>IF(AND(ISNUMBER(Z13),ISNUMBER(I13),I13&gt;0,ISNUMBER(J13)),ROUND(Z13*J13/I13,2),"")</f>
        <v>5.05</v>
      </c>
      <c r="AB13" t="s">
        <v>42</v>
      </c>
      <c r="AC13" t="s">
        <v>43</v>
      </c>
      <c r="AD13" t="s">
        <v>44</v>
      </c>
      <c r="AE13" t="s">
        <v>45</v>
      </c>
    </row>
    <row r="14">
      <c r="A14">
        <v>806042</v>
      </c>
      <c r="B14">
        <v>806042</v>
      </c>
      <c r="C14" t="s">
        <v>56</v>
      </c>
      <c r="D14" t="s">
        <v>36</v>
      </c>
      <c r="E14" t="s">
        <v>37</v>
      </c>
      <c r="F14" s="1">
        <v>3.34</v>
      </c>
      <c r="G14" s="2">
        <v>0.4</v>
      </c>
      <c r="H14" s="2">
        <v>0.512</v>
      </c>
      <c r="I14" s="1">
        <v>4.68</v>
      </c>
      <c r="J14" s="1">
        <f>IF(AND(ISNUMBER(F14),ISNUMBER(H14)),ROUND(F14*(1+H14),2),"")</f>
        <v>5.05</v>
      </c>
      <c r="K14" s="2">
        <f>IF(AND(ISNUMBER(I14),I14&gt;0,ISNUMBER(J14)),J14/I14-1,"")</f>
        <v>0.079059829059829</v>
      </c>
      <c r="L14" t="s">
        <v>38</v>
      </c>
      <c r="N14" s="1" t="s">
        <f>IF(AND(ISNUMBER(U14),U14&gt;0,ISNUMBER(J14)),ROUND(J14/U14,2),"")</f>
        <v>39</v>
      </c>
      <c r="Q14" t="s">
        <v>40</v>
      </c>
      <c r="R14" t="s">
        <v>39</v>
      </c>
      <c r="S14">
        <v>527106</v>
      </c>
      <c r="T14">
        <v>527106</v>
      </c>
      <c r="X14" t="s">
        <v>41</v>
      </c>
      <c r="Z14" s="1">
        <v>4.68</v>
      </c>
      <c r="AA14" s="1">
        <f>IF(AND(ISNUMBER(Z14),ISNUMBER(I14),I14&gt;0,ISNUMBER(J14)),ROUND(Z14*J14/I14,2),"")</f>
        <v>5.05</v>
      </c>
      <c r="AB14" t="s">
        <v>42</v>
      </c>
      <c r="AC14" t="s">
        <v>43</v>
      </c>
      <c r="AD14" t="s">
        <v>48</v>
      </c>
      <c r="AE14" t="s">
        <v>45</v>
      </c>
    </row>
    <row r="15">
      <c r="A15">
        <v>806045</v>
      </c>
      <c r="B15">
        <v>806045</v>
      </c>
      <c r="C15" t="s">
        <v>57</v>
      </c>
      <c r="D15" t="s">
        <v>36</v>
      </c>
      <c r="E15" t="s">
        <v>37</v>
      </c>
      <c r="F15" s="1">
        <v>3.34</v>
      </c>
      <c r="G15" s="2">
        <v>0.4</v>
      </c>
      <c r="H15" s="2">
        <v>0.512</v>
      </c>
      <c r="I15" s="1">
        <v>4.68</v>
      </c>
      <c r="J15" s="1">
        <f>IF(AND(ISNUMBER(F15),ISNUMBER(H15)),ROUND(F15*(1+H15),2),"")</f>
        <v>5.05</v>
      </c>
      <c r="K15" s="2">
        <f>IF(AND(ISNUMBER(I15),I15&gt;0,ISNUMBER(J15)),J15/I15-1,"")</f>
        <v>0.079059829059829</v>
      </c>
      <c r="L15" t="s">
        <v>38</v>
      </c>
      <c r="N15" s="1" t="s">
        <f>IF(AND(ISNUMBER(U15),U15&gt;0,ISNUMBER(J15)),ROUND(J15/U15,2),"")</f>
        <v>39</v>
      </c>
      <c r="Q15" t="s">
        <v>40</v>
      </c>
      <c r="R15" t="s">
        <v>39</v>
      </c>
      <c r="S15">
        <v>527109</v>
      </c>
      <c r="T15">
        <v>527109</v>
      </c>
      <c r="X15" t="s">
        <v>41</v>
      </c>
      <c r="Z15" s="1">
        <v>4.68</v>
      </c>
      <c r="AA15" s="1">
        <f>IF(AND(ISNUMBER(Z15),ISNUMBER(I15),I15&gt;0,ISNUMBER(J15)),ROUND(Z15*J15/I15,2),"")</f>
        <v>5.05</v>
      </c>
      <c r="AB15" t="s">
        <v>42</v>
      </c>
      <c r="AC15" t="s">
        <v>43</v>
      </c>
      <c r="AD15" t="s">
        <v>44</v>
      </c>
      <c r="AE15" t="s">
        <v>45</v>
      </c>
    </row>
    <row r="16">
      <c r="A16">
        <v>806049</v>
      </c>
      <c r="B16">
        <v>806049</v>
      </c>
      <c r="C16" t="s">
        <v>58</v>
      </c>
      <c r="D16" t="s">
        <v>36</v>
      </c>
      <c r="E16" t="s">
        <v>37</v>
      </c>
      <c r="F16" s="1">
        <v>3.75</v>
      </c>
      <c r="G16" s="2">
        <v>0.4</v>
      </c>
      <c r="H16" s="2">
        <v>0.512</v>
      </c>
      <c r="I16" s="1">
        <v>5.25</v>
      </c>
      <c r="J16" s="1">
        <f>IF(AND(ISNUMBER(F16),ISNUMBER(H16)),ROUND(F16*(1+H16),2),"")</f>
        <v>5.67</v>
      </c>
      <c r="K16" s="2">
        <f>IF(AND(ISNUMBER(I16),I16&gt;0,ISNUMBER(J16)),J16/I16-1,"")</f>
        <v>0.08000000000000007</v>
      </c>
      <c r="L16" t="s">
        <v>38</v>
      </c>
      <c r="N16" s="1" t="s">
        <f>IF(AND(ISNUMBER(U16),U16&gt;0,ISNUMBER(J16)),ROUND(J16/U16,2),"")</f>
        <v>39</v>
      </c>
      <c r="Q16" t="s">
        <v>40</v>
      </c>
      <c r="R16" t="s">
        <v>39</v>
      </c>
      <c r="S16">
        <v>527113</v>
      </c>
      <c r="T16">
        <v>527113</v>
      </c>
      <c r="X16" t="s">
        <v>41</v>
      </c>
      <c r="Z16" s="1">
        <v>5.25</v>
      </c>
      <c r="AA16" s="1">
        <f>IF(AND(ISNUMBER(Z16),ISNUMBER(I16),I16&gt;0,ISNUMBER(J16)),ROUND(Z16*J16/I16,2),"")</f>
        <v>5.67</v>
      </c>
      <c r="AB16" t="s">
        <v>42</v>
      </c>
      <c r="AC16" t="s">
        <v>43</v>
      </c>
      <c r="AD16" t="s">
        <v>48</v>
      </c>
      <c r="AE16" t="s">
        <v>45</v>
      </c>
    </row>
    <row r="17">
      <c r="A17">
        <v>806052</v>
      </c>
      <c r="B17">
        <v>806052</v>
      </c>
      <c r="C17" t="s">
        <v>59</v>
      </c>
      <c r="D17" t="s">
        <v>36</v>
      </c>
      <c r="E17" t="s">
        <v>37</v>
      </c>
      <c r="F17" s="1">
        <v>3.19</v>
      </c>
      <c r="G17" s="2">
        <v>0.4</v>
      </c>
      <c r="H17" s="2">
        <v>0.512</v>
      </c>
      <c r="I17" s="1">
        <v>4.47</v>
      </c>
      <c r="J17" s="1">
        <f>IF(AND(ISNUMBER(F17),ISNUMBER(H17)),ROUND(F17*(1+H17),2),"")</f>
        <v>4.82</v>
      </c>
      <c r="K17" s="2">
        <f>IF(AND(ISNUMBER(I17),I17&gt;0,ISNUMBER(J17)),J17/I17-1,"")</f>
        <v>0.07829977628635354</v>
      </c>
      <c r="L17" t="s">
        <v>38</v>
      </c>
      <c r="N17" s="1" t="s">
        <f>IF(AND(ISNUMBER(U17),U17&gt;0,ISNUMBER(J17)),ROUND(J17/U17,2),"")</f>
        <v>39</v>
      </c>
      <c r="Q17" t="s">
        <v>40</v>
      </c>
      <c r="R17" t="s">
        <v>39</v>
      </c>
      <c r="S17">
        <v>527116</v>
      </c>
      <c r="T17">
        <v>527116</v>
      </c>
      <c r="X17" t="s">
        <v>41</v>
      </c>
      <c r="Z17" s="1">
        <v>4.47</v>
      </c>
      <c r="AA17" s="1">
        <f>IF(AND(ISNUMBER(Z17),ISNUMBER(I17),I17&gt;0,ISNUMBER(J17)),ROUND(Z17*J17/I17,2),"")</f>
        <v>4.82</v>
      </c>
      <c r="AB17" t="s">
        <v>42</v>
      </c>
      <c r="AC17" t="s">
        <v>43</v>
      </c>
      <c r="AD17" t="s">
        <v>48</v>
      </c>
      <c r="AE17" t="s">
        <v>45</v>
      </c>
    </row>
    <row r="18">
      <c r="A18">
        <v>806056</v>
      </c>
      <c r="B18">
        <v>806056</v>
      </c>
      <c r="C18" t="s">
        <v>60</v>
      </c>
      <c r="D18" t="s">
        <v>36</v>
      </c>
      <c r="E18" t="s">
        <v>37</v>
      </c>
      <c r="F18" s="1">
        <v>3.75</v>
      </c>
      <c r="G18" s="2">
        <v>0.4</v>
      </c>
      <c r="H18" s="2">
        <v>0.512</v>
      </c>
      <c r="I18" s="1">
        <v>5.25</v>
      </c>
      <c r="J18" s="1">
        <f>IF(AND(ISNUMBER(F18),ISNUMBER(H18)),ROUND(F18*(1+H18),2),"")</f>
        <v>5.67</v>
      </c>
      <c r="K18" s="2">
        <f>IF(AND(ISNUMBER(I18),I18&gt;0,ISNUMBER(J18)),J18/I18-1,"")</f>
        <v>0.08000000000000007</v>
      </c>
      <c r="L18" t="s">
        <v>38</v>
      </c>
      <c r="N18" s="1" t="s">
        <f>IF(AND(ISNUMBER(U18),U18&gt;0,ISNUMBER(J18)),ROUND(J18/U18,2),"")</f>
        <v>39</v>
      </c>
      <c r="Q18" t="s">
        <v>40</v>
      </c>
      <c r="R18" t="s">
        <v>39</v>
      </c>
      <c r="S18">
        <v>527120</v>
      </c>
      <c r="T18">
        <v>527120</v>
      </c>
      <c r="X18" t="s">
        <v>41</v>
      </c>
      <c r="Z18" s="1">
        <v>5.25</v>
      </c>
      <c r="AA18" s="1">
        <f>IF(AND(ISNUMBER(Z18),ISNUMBER(I18),I18&gt;0,ISNUMBER(J18)),ROUND(Z18*J18/I18,2),"")</f>
        <v>5.67</v>
      </c>
      <c r="AB18" t="s">
        <v>42</v>
      </c>
      <c r="AC18" t="s">
        <v>43</v>
      </c>
      <c r="AD18" t="s">
        <v>44</v>
      </c>
      <c r="AE18" t="s">
        <v>45</v>
      </c>
    </row>
    <row r="19">
      <c r="A19">
        <v>806059</v>
      </c>
      <c r="B19">
        <v>806059</v>
      </c>
      <c r="C19" t="s">
        <v>61</v>
      </c>
      <c r="D19" t="s">
        <v>36</v>
      </c>
      <c r="E19" t="s">
        <v>37</v>
      </c>
      <c r="F19" s="1">
        <v>3.34</v>
      </c>
      <c r="G19" s="2">
        <v>0.4</v>
      </c>
      <c r="H19" s="2">
        <v>0.512</v>
      </c>
      <c r="I19" s="1">
        <v>4.68</v>
      </c>
      <c r="J19" s="1">
        <f>IF(AND(ISNUMBER(F19),ISNUMBER(H19)),ROUND(F19*(1+H19),2),"")</f>
        <v>5.05</v>
      </c>
      <c r="K19" s="2">
        <f>IF(AND(ISNUMBER(I19),I19&gt;0,ISNUMBER(J19)),J19/I19-1,"")</f>
        <v>0.079059829059829</v>
      </c>
      <c r="L19" t="s">
        <v>38</v>
      </c>
      <c r="N19" s="1" t="s">
        <f>IF(AND(ISNUMBER(U19),U19&gt;0,ISNUMBER(J19)),ROUND(J19/U19,2),"")</f>
        <v>39</v>
      </c>
      <c r="Q19" t="s">
        <v>40</v>
      </c>
      <c r="R19" t="s">
        <v>39</v>
      </c>
      <c r="S19">
        <v>527124</v>
      </c>
      <c r="T19">
        <v>527124</v>
      </c>
      <c r="X19" t="s">
        <v>41</v>
      </c>
      <c r="Z19" s="1">
        <v>4.68</v>
      </c>
      <c r="AA19" s="1">
        <f>IF(AND(ISNUMBER(Z19),ISNUMBER(I19),I19&gt;0,ISNUMBER(J19)),ROUND(Z19*J19/I19,2),"")</f>
        <v>5.05</v>
      </c>
      <c r="AB19" t="s">
        <v>42</v>
      </c>
      <c r="AC19" t="s">
        <v>43</v>
      </c>
      <c r="AD19" t="s">
        <v>44</v>
      </c>
      <c r="AE19" t="s">
        <v>45</v>
      </c>
    </row>
    <row r="20">
      <c r="A20">
        <v>976879</v>
      </c>
      <c r="B20">
        <v>976879</v>
      </c>
      <c r="C20" t="s">
        <v>62</v>
      </c>
      <c r="D20" t="s">
        <v>36</v>
      </c>
      <c r="E20" t="s">
        <v>63</v>
      </c>
      <c r="F20" s="1">
        <v>3.34</v>
      </c>
      <c r="G20" s="2">
        <v>0.4</v>
      </c>
      <c r="H20" s="2">
        <v>0.512</v>
      </c>
      <c r="I20" s="1">
        <v>4.68</v>
      </c>
      <c r="J20" s="1">
        <f>IF(AND(ISNUMBER(F20),ISNUMBER(H20)),ROUND(F20*(1+H20),2),"")</f>
        <v>5.05</v>
      </c>
      <c r="K20" s="2">
        <f>IF(AND(ISNUMBER(I20),I20&gt;0,ISNUMBER(J20)),J20/I20-1,"")</f>
        <v>0.079059829059829</v>
      </c>
      <c r="L20" t="s">
        <v>38</v>
      </c>
      <c r="N20" s="1" t="s">
        <f>IF(AND(ISNUMBER(U20),U20&gt;0,ISNUMBER(J20)),ROUND(J20/U20,2),"")</f>
        <v>39</v>
      </c>
      <c r="Q20" t="s">
        <v>40</v>
      </c>
      <c r="R20" t="s">
        <v>39</v>
      </c>
      <c r="S20">
        <v>742884</v>
      </c>
      <c r="T20">
        <v>742884</v>
      </c>
      <c r="X20" t="s">
        <v>41</v>
      </c>
      <c r="Z20" s="1">
        <v>4.68</v>
      </c>
      <c r="AA20" s="1">
        <f>IF(AND(ISNUMBER(Z20),ISNUMBER(I20),I20&gt;0,ISNUMBER(J20)),ROUND(Z20*J20/I20,2),"")</f>
        <v>5.05</v>
      </c>
      <c r="AB20" t="s">
        <v>42</v>
      </c>
      <c r="AC20" t="s">
        <v>43</v>
      </c>
      <c r="AD20" t="s">
        <v>44</v>
      </c>
      <c r="AE20" t="s">
        <v>45</v>
      </c>
    </row>
    <row r="21">
      <c r="A21">
        <v>1038295</v>
      </c>
      <c r="B21">
        <v>1038295</v>
      </c>
      <c r="C21" t="s">
        <v>64</v>
      </c>
      <c r="D21" t="s">
        <v>36</v>
      </c>
      <c r="E21" t="s">
        <v>63</v>
      </c>
      <c r="F21" s="1">
        <v>3.34</v>
      </c>
      <c r="G21" s="2">
        <v>0.4</v>
      </c>
      <c r="H21" s="2">
        <v>0.512</v>
      </c>
      <c r="I21" s="1">
        <v>4.68</v>
      </c>
      <c r="J21" s="1">
        <f>IF(AND(ISNUMBER(F21),ISNUMBER(H21)),ROUND(F21*(1+H21),2),"")</f>
        <v>5.05</v>
      </c>
      <c r="K21" s="2">
        <f>IF(AND(ISNUMBER(I21),I21&gt;0,ISNUMBER(J21)),J21/I21-1,"")</f>
        <v>0.079059829059829</v>
      </c>
      <c r="L21" t="s">
        <v>38</v>
      </c>
      <c r="N21" s="1" t="s">
        <f>IF(AND(ISNUMBER(U21),U21&gt;0,ISNUMBER(J21)),ROUND(J21/U21,2),"")</f>
        <v>39</v>
      </c>
      <c r="Q21" t="s">
        <v>40</v>
      </c>
      <c r="R21" t="s">
        <v>39</v>
      </c>
      <c r="S21">
        <v>836567</v>
      </c>
      <c r="T21">
        <v>836567</v>
      </c>
      <c r="X21" t="s">
        <v>41</v>
      </c>
      <c r="Z21" s="1">
        <v>4.68</v>
      </c>
      <c r="AA21" s="1">
        <f>IF(AND(ISNUMBER(Z21),ISNUMBER(I21),I21&gt;0,ISNUMBER(J21)),ROUND(Z21*J21/I21,2),"")</f>
        <v>5.05</v>
      </c>
      <c r="AB21" t="s">
        <v>42</v>
      </c>
      <c r="AC21" t="s">
        <v>43</v>
      </c>
      <c r="AD21" t="s">
        <v>48</v>
      </c>
      <c r="AE21" t="s">
        <v>45</v>
      </c>
    </row>
    <row r="22">
      <c r="A22">
        <v>806063</v>
      </c>
      <c r="B22">
        <v>806063</v>
      </c>
      <c r="C22" t="s">
        <v>65</v>
      </c>
      <c r="D22" t="s">
        <v>66</v>
      </c>
      <c r="E22" t="s">
        <v>67</v>
      </c>
      <c r="F22" s="1">
        <v>11.05</v>
      </c>
      <c r="G22" s="2">
        <v>0.4</v>
      </c>
      <c r="H22" s="2">
        <v>0.512</v>
      </c>
      <c r="I22" s="1">
        <v>15.47</v>
      </c>
      <c r="J22" s="1">
        <f>IF(AND(ISNUMBER(F22),ISNUMBER(H22)),ROUND(F22*(1+H22),2),"")</f>
        <v>16.71</v>
      </c>
      <c r="K22" s="2">
        <f>IF(AND(ISNUMBER(I22),I22&gt;0,ISNUMBER(J22)),J22/I22-1,"")</f>
        <v>0.08015513897866833</v>
      </c>
      <c r="L22" t="s">
        <v>38</v>
      </c>
      <c r="M22" s="1">
        <v>5.16</v>
      </c>
      <c r="N22" s="1">
        <f>IF(AND(ISNUMBER(U22),U22&gt;0,ISNUMBER(J22)),ROUND(J22/U22,2),"")</f>
        <v>5.57</v>
      </c>
      <c r="Q22" t="s">
        <v>40</v>
      </c>
      <c r="R22" t="s">
        <v>39</v>
      </c>
      <c r="S22">
        <v>527127</v>
      </c>
      <c r="T22">
        <v>527127</v>
      </c>
      <c r="U22" s="3">
        <v>3</v>
      </c>
      <c r="X22" t="s">
        <v>41</v>
      </c>
      <c r="Z22" s="1">
        <v>15.47</v>
      </c>
      <c r="AA22" s="1">
        <f>IF(AND(ISNUMBER(Z22),ISNUMBER(I22),I22&gt;0,ISNUMBER(J22)),ROUND(Z22*J22/I22,2),"")</f>
        <v>16.71</v>
      </c>
      <c r="AB22" t="s">
        <v>42</v>
      </c>
      <c r="AC22" t="s">
        <v>43</v>
      </c>
      <c r="AD22" t="s">
        <v>44</v>
      </c>
      <c r="AE22" t="s">
        <v>45</v>
      </c>
    </row>
    <row r="23">
      <c r="A23">
        <v>806067</v>
      </c>
      <c r="B23">
        <v>806067</v>
      </c>
      <c r="C23" t="s">
        <v>68</v>
      </c>
      <c r="D23" t="s">
        <v>66</v>
      </c>
      <c r="E23" t="s">
        <v>69</v>
      </c>
      <c r="F23" s="1">
        <v>10.95</v>
      </c>
      <c r="G23" s="2">
        <v>0.4</v>
      </c>
      <c r="H23" s="2">
        <v>0.512</v>
      </c>
      <c r="I23" s="1">
        <v>15.33</v>
      </c>
      <c r="J23" s="1">
        <f>IF(AND(ISNUMBER(F23),ISNUMBER(H23)),ROUND(F23*(1+H23),2),"")</f>
        <v>16.56</v>
      </c>
      <c r="K23" s="2">
        <f>IF(AND(ISNUMBER(I23),I23&gt;0,ISNUMBER(J23)),J23/I23-1,"")</f>
        <v>0.08023483365949113</v>
      </c>
      <c r="L23" t="s">
        <v>38</v>
      </c>
      <c r="M23" s="1">
        <v>3.83</v>
      </c>
      <c r="N23" s="1">
        <f>IF(AND(ISNUMBER(U23),U23&gt;0,ISNUMBER(J23)),ROUND(J23/U23,2),"")</f>
        <v>4.14</v>
      </c>
      <c r="Q23" t="s">
        <v>40</v>
      </c>
      <c r="R23" t="s">
        <v>39</v>
      </c>
      <c r="S23">
        <v>527131</v>
      </c>
      <c r="T23">
        <v>527131</v>
      </c>
      <c r="U23" s="3">
        <v>4</v>
      </c>
      <c r="X23" t="s">
        <v>41</v>
      </c>
      <c r="Z23" s="1">
        <v>15.33</v>
      </c>
      <c r="AA23" s="1">
        <f>IF(AND(ISNUMBER(Z23),ISNUMBER(I23),I23&gt;0,ISNUMBER(J23)),ROUND(Z23*J23/I23,2),"")</f>
        <v>16.56</v>
      </c>
      <c r="AB23" t="s">
        <v>42</v>
      </c>
      <c r="AC23" t="s">
        <v>43</v>
      </c>
      <c r="AD23" t="s">
        <v>44</v>
      </c>
      <c r="AE23" t="s">
        <v>45</v>
      </c>
    </row>
    <row r="24">
      <c r="A24">
        <v>908804</v>
      </c>
      <c r="B24">
        <v>908804</v>
      </c>
      <c r="C24" t="s">
        <v>70</v>
      </c>
      <c r="D24" t="s">
        <v>66</v>
      </c>
      <c r="E24" t="s">
        <v>71</v>
      </c>
      <c r="F24" s="1">
        <v>14.5</v>
      </c>
      <c r="G24" s="2">
        <v>0.4</v>
      </c>
      <c r="H24" s="2">
        <v>0.512</v>
      </c>
      <c r="I24" s="1">
        <v>20.3</v>
      </c>
      <c r="J24" s="1">
        <f>IF(AND(ISNUMBER(F24),ISNUMBER(H24)),ROUND(F24*(1+H24),2),"")</f>
        <v>21.92</v>
      </c>
      <c r="K24" s="2">
        <f>IF(AND(ISNUMBER(I24),I24&gt;0,ISNUMBER(J24)),J24/I24-1,"")</f>
        <v>0.0798029556650246</v>
      </c>
      <c r="L24" t="s">
        <v>38</v>
      </c>
      <c r="M24" s="1">
        <v>6.77</v>
      </c>
      <c r="N24" s="1">
        <f>IF(AND(ISNUMBER(U24),U24&gt;0,ISNUMBER(J24)),ROUND(J24/U24,2),"")</f>
        <v>7.31</v>
      </c>
      <c r="Q24" t="s">
        <v>40</v>
      </c>
      <c r="R24" t="s">
        <v>39</v>
      </c>
      <c r="S24">
        <v>653619</v>
      </c>
      <c r="T24">
        <v>653619</v>
      </c>
      <c r="U24" s="3">
        <v>3</v>
      </c>
      <c r="X24" t="s">
        <v>41</v>
      </c>
      <c r="Z24" s="1">
        <v>20.3</v>
      </c>
      <c r="AA24" s="1">
        <f>IF(AND(ISNUMBER(Z24),ISNUMBER(I24),I24&gt;0,ISNUMBER(J24)),ROUND(Z24*J24/I24,2),"")</f>
        <v>21.92</v>
      </c>
      <c r="AB24" t="s">
        <v>42</v>
      </c>
      <c r="AC24" t="s">
        <v>43</v>
      </c>
      <c r="AD24" t="s">
        <v>48</v>
      </c>
      <c r="AE24" t="s">
        <v>45</v>
      </c>
    </row>
    <row r="25">
      <c r="A25">
        <v>900152</v>
      </c>
      <c r="B25">
        <v>900152</v>
      </c>
      <c r="C25" t="s">
        <v>72</v>
      </c>
      <c r="D25" t="s">
        <v>66</v>
      </c>
      <c r="E25" t="s">
        <v>67</v>
      </c>
      <c r="F25" s="1">
        <v>12</v>
      </c>
      <c r="G25" s="2">
        <v>0.4</v>
      </c>
      <c r="H25" s="2">
        <v>0.512</v>
      </c>
      <c r="I25" s="1">
        <v>16.8</v>
      </c>
      <c r="J25" s="1">
        <f>IF(AND(ISNUMBER(F25),ISNUMBER(H25)),ROUND(F25*(1+H25),2),"")</f>
        <v>18.14</v>
      </c>
      <c r="K25" s="2">
        <f>IF(AND(ISNUMBER(I25),I25&gt;0,ISNUMBER(J25)),J25/I25-1,"")</f>
        <v>0.0797619047619047</v>
      </c>
      <c r="L25" t="s">
        <v>38</v>
      </c>
      <c r="M25" s="1">
        <v>5.6</v>
      </c>
      <c r="N25" s="1">
        <f>IF(AND(ISNUMBER(U25),U25&gt;0,ISNUMBER(J25)),ROUND(J25/U25,2),"")</f>
        <v>6.05</v>
      </c>
      <c r="Q25" t="s">
        <v>40</v>
      </c>
      <c r="R25" t="s">
        <v>39</v>
      </c>
      <c r="S25">
        <v>642166</v>
      </c>
      <c r="T25">
        <v>642166</v>
      </c>
      <c r="U25" s="3">
        <v>3</v>
      </c>
      <c r="X25" t="s">
        <v>41</v>
      </c>
      <c r="Z25" s="1">
        <v>16.8</v>
      </c>
      <c r="AA25" s="1">
        <f>IF(AND(ISNUMBER(Z25),ISNUMBER(I25),I25&gt;0,ISNUMBER(J25)),ROUND(Z25*J25/I25,2),"")</f>
        <v>18.14</v>
      </c>
      <c r="AB25" t="s">
        <v>42</v>
      </c>
      <c r="AC25" t="s">
        <v>43</v>
      </c>
      <c r="AD25" t="s">
        <v>48</v>
      </c>
      <c r="AE25" t="s">
        <v>45</v>
      </c>
    </row>
    <row r="26">
      <c r="A26">
        <v>900154</v>
      </c>
      <c r="B26">
        <v>900154</v>
      </c>
      <c r="C26" t="s">
        <v>73</v>
      </c>
      <c r="D26" t="s">
        <v>66</v>
      </c>
      <c r="E26" t="s">
        <v>74</v>
      </c>
      <c r="F26" s="1">
        <v>10</v>
      </c>
      <c r="G26" s="2">
        <v>0.4</v>
      </c>
      <c r="H26" s="2">
        <v>0.512</v>
      </c>
      <c r="I26" s="1">
        <v>14</v>
      </c>
      <c r="J26" s="1">
        <f>IF(AND(ISNUMBER(F26),ISNUMBER(H26)),ROUND(F26*(1+H26),2),"")</f>
        <v>15.12</v>
      </c>
      <c r="K26" s="2">
        <f>IF(AND(ISNUMBER(I26),I26&gt;0,ISNUMBER(J26)),J26/I26-1,"")</f>
        <v>0.07999999999999985</v>
      </c>
      <c r="L26" t="s">
        <v>38</v>
      </c>
      <c r="M26" s="1">
        <v>4.67</v>
      </c>
      <c r="N26" s="1">
        <f>IF(AND(ISNUMBER(U26),U26&gt;0,ISNUMBER(J26)),ROUND(J26/U26,2),"")</f>
        <v>5.04</v>
      </c>
      <c r="Q26" t="s">
        <v>40</v>
      </c>
      <c r="R26" t="s">
        <v>39</v>
      </c>
      <c r="S26">
        <v>642168</v>
      </c>
      <c r="T26">
        <v>642168</v>
      </c>
      <c r="U26" s="3">
        <v>3</v>
      </c>
      <c r="X26" t="s">
        <v>41</v>
      </c>
      <c r="Z26" s="1">
        <v>14</v>
      </c>
      <c r="AA26" s="1">
        <f>IF(AND(ISNUMBER(Z26),ISNUMBER(I26),I26&gt;0,ISNUMBER(J26)),ROUND(Z26*J26/I26,2),"")</f>
        <v>15.12</v>
      </c>
      <c r="AB26" t="s">
        <v>42</v>
      </c>
      <c r="AC26" t="s">
        <v>43</v>
      </c>
      <c r="AD26" t="s">
        <v>48</v>
      </c>
      <c r="AE26" t="s">
        <v>45</v>
      </c>
    </row>
    <row r="27">
      <c r="A27">
        <v>806110</v>
      </c>
      <c r="B27">
        <v>806110</v>
      </c>
      <c r="C27" t="s">
        <v>75</v>
      </c>
      <c r="D27" t="s">
        <v>66</v>
      </c>
      <c r="E27" t="s">
        <v>76</v>
      </c>
      <c r="F27" s="1">
        <v>11.5</v>
      </c>
      <c r="G27" s="2">
        <v>0.4</v>
      </c>
      <c r="H27" s="2">
        <v>0.512</v>
      </c>
      <c r="I27" s="1">
        <v>16.1</v>
      </c>
      <c r="J27" s="1">
        <f>IF(AND(ISNUMBER(F27),ISNUMBER(H27)),ROUND(F27*(1+H27),2),"")</f>
        <v>17.39</v>
      </c>
      <c r="K27" s="2">
        <f>IF(AND(ISNUMBER(I27),I27&gt;0,ISNUMBER(J27)),J27/I27-1,"")</f>
        <v>0.08012422360248439</v>
      </c>
      <c r="L27" t="s">
        <v>38</v>
      </c>
      <c r="M27" s="1">
        <v>16.1</v>
      </c>
      <c r="N27" s="1">
        <f>IF(AND(ISNUMBER(U27),U27&gt;0,ISNUMBER(J27)),ROUND(J27/U27,2),"")</f>
        <v>17.39</v>
      </c>
      <c r="Q27" t="s">
        <v>40</v>
      </c>
      <c r="R27" t="s">
        <v>39</v>
      </c>
      <c r="S27">
        <v>527175</v>
      </c>
      <c r="T27">
        <v>527175</v>
      </c>
      <c r="U27" s="3">
        <v>1</v>
      </c>
      <c r="X27" t="s">
        <v>41</v>
      </c>
      <c r="Z27" s="1">
        <v>16.1</v>
      </c>
      <c r="AA27" s="1">
        <f>IF(AND(ISNUMBER(Z27),ISNUMBER(I27),I27&gt;0,ISNUMBER(J27)),ROUND(Z27*J27/I27,2),"")</f>
        <v>17.39</v>
      </c>
      <c r="AB27" t="s">
        <v>42</v>
      </c>
      <c r="AC27" t="s">
        <v>43</v>
      </c>
      <c r="AD27" t="s">
        <v>48</v>
      </c>
      <c r="AE27" t="s">
        <v>45</v>
      </c>
    </row>
    <row r="28">
      <c r="A28">
        <v>900126</v>
      </c>
      <c r="B28">
        <v>900126</v>
      </c>
      <c r="C28" t="s">
        <v>77</v>
      </c>
      <c r="D28" t="s">
        <v>66</v>
      </c>
      <c r="E28" t="s">
        <v>67</v>
      </c>
      <c r="F28" s="1">
        <v>13.25</v>
      </c>
      <c r="G28" s="2">
        <v>0.4</v>
      </c>
      <c r="H28" s="2">
        <v>0.512</v>
      </c>
      <c r="I28" s="1">
        <v>18.55</v>
      </c>
      <c r="J28" s="1">
        <f>IF(AND(ISNUMBER(F28),ISNUMBER(H28)),ROUND(F28*(1+H28),2),"")</f>
        <v>20.03</v>
      </c>
      <c r="K28" s="2">
        <f>IF(AND(ISNUMBER(I28),I28&gt;0,ISNUMBER(J28)),J28/I28-1,"")</f>
        <v>0.07978436657681942</v>
      </c>
      <c r="L28" t="s">
        <v>38</v>
      </c>
      <c r="M28" s="1">
        <v>6.18</v>
      </c>
      <c r="N28" s="1">
        <f>IF(AND(ISNUMBER(U28),U28&gt;0,ISNUMBER(J28)),ROUND(J28/U28,2),"")</f>
        <v>6.68</v>
      </c>
      <c r="Q28" t="s">
        <v>40</v>
      </c>
      <c r="R28" t="s">
        <v>39</v>
      </c>
      <c r="S28">
        <v>642136</v>
      </c>
      <c r="T28">
        <v>642136</v>
      </c>
      <c r="U28" s="3">
        <v>3</v>
      </c>
      <c r="X28" t="s">
        <v>41</v>
      </c>
      <c r="Z28" s="1">
        <v>18.55</v>
      </c>
      <c r="AA28" s="1">
        <f>IF(AND(ISNUMBER(Z28),ISNUMBER(I28),I28&gt;0,ISNUMBER(J28)),ROUND(Z28*J28/I28,2),"")</f>
        <v>20.03</v>
      </c>
      <c r="AB28" t="s">
        <v>42</v>
      </c>
      <c r="AC28" t="s">
        <v>43</v>
      </c>
      <c r="AD28" t="s">
        <v>48</v>
      </c>
      <c r="AE28" t="s">
        <v>45</v>
      </c>
    </row>
    <row r="29">
      <c r="A29">
        <v>806091</v>
      </c>
      <c r="B29">
        <v>806091</v>
      </c>
      <c r="C29" t="s">
        <v>78</v>
      </c>
      <c r="D29" t="s">
        <v>66</v>
      </c>
      <c r="E29" t="s">
        <v>69</v>
      </c>
      <c r="F29" s="1">
        <v>9.5</v>
      </c>
      <c r="G29" s="2">
        <v>0.4</v>
      </c>
      <c r="H29" s="2">
        <v>0.512</v>
      </c>
      <c r="I29" s="1">
        <v>13.3</v>
      </c>
      <c r="J29" s="1">
        <f>IF(AND(ISNUMBER(F29),ISNUMBER(H29)),ROUND(F29*(1+H29),2),"")</f>
        <v>14.36</v>
      </c>
      <c r="K29" s="2">
        <f>IF(AND(ISNUMBER(I29),I29&gt;0,ISNUMBER(J29)),J29/I29-1,"")</f>
        <v>0.07969924812030071</v>
      </c>
      <c r="L29" t="s">
        <v>38</v>
      </c>
      <c r="M29" s="1">
        <v>3.33</v>
      </c>
      <c r="N29" s="1">
        <f>IF(AND(ISNUMBER(U29),U29&gt;0,ISNUMBER(J29)),ROUND(J29/U29,2),"")</f>
        <v>3.59</v>
      </c>
      <c r="Q29" t="s">
        <v>40</v>
      </c>
      <c r="R29" t="s">
        <v>39</v>
      </c>
      <c r="S29">
        <v>527155</v>
      </c>
      <c r="T29">
        <v>527155</v>
      </c>
      <c r="U29" s="3">
        <v>4</v>
      </c>
      <c r="X29" t="s">
        <v>41</v>
      </c>
      <c r="Z29" s="1">
        <v>13.3</v>
      </c>
      <c r="AA29" s="1">
        <f>IF(AND(ISNUMBER(Z29),ISNUMBER(I29),I29&gt;0,ISNUMBER(J29)),ROUND(Z29*J29/I29,2),"")</f>
        <v>14.36</v>
      </c>
      <c r="AB29" t="s">
        <v>42</v>
      </c>
      <c r="AC29" t="s">
        <v>43</v>
      </c>
      <c r="AD29" t="s">
        <v>44</v>
      </c>
      <c r="AE29" t="s">
        <v>45</v>
      </c>
    </row>
    <row r="30">
      <c r="A30">
        <v>900158</v>
      </c>
      <c r="B30">
        <v>900158</v>
      </c>
      <c r="C30" t="s">
        <v>79</v>
      </c>
      <c r="D30" t="s">
        <v>66</v>
      </c>
      <c r="E30" t="s">
        <v>74</v>
      </c>
      <c r="F30" s="1">
        <v>10.4</v>
      </c>
      <c r="G30" s="2">
        <v>0.4</v>
      </c>
      <c r="H30" s="2">
        <v>0.512</v>
      </c>
      <c r="I30" s="1">
        <v>14.56</v>
      </c>
      <c r="J30" s="1">
        <f>IF(AND(ISNUMBER(F30),ISNUMBER(H30)),ROUND(F30*(1+H30),2),"")</f>
        <v>15.72</v>
      </c>
      <c r="K30" s="2">
        <f>IF(AND(ISNUMBER(I30),I30&gt;0,ISNUMBER(J30)),J30/I30-1,"")</f>
        <v>0.07967032967032961</v>
      </c>
      <c r="L30" t="s">
        <v>38</v>
      </c>
      <c r="M30" s="1">
        <v>4.85</v>
      </c>
      <c r="N30" s="1">
        <f>IF(AND(ISNUMBER(U30),U30&gt;0,ISNUMBER(J30)),ROUND(J30/U30,2),"")</f>
        <v>5.24</v>
      </c>
      <c r="Q30" t="s">
        <v>40</v>
      </c>
      <c r="R30" t="s">
        <v>39</v>
      </c>
      <c r="S30">
        <v>642174</v>
      </c>
      <c r="T30">
        <v>642174</v>
      </c>
      <c r="U30" s="3">
        <v>3</v>
      </c>
      <c r="X30" t="s">
        <v>41</v>
      </c>
      <c r="Z30" s="1">
        <v>14.56</v>
      </c>
      <c r="AA30" s="1">
        <f>IF(AND(ISNUMBER(Z30),ISNUMBER(I30),I30&gt;0,ISNUMBER(J30)),ROUND(Z30*J30/I30,2),"")</f>
        <v>15.72</v>
      </c>
      <c r="AB30" t="s">
        <v>42</v>
      </c>
      <c r="AC30" t="s">
        <v>43</v>
      </c>
      <c r="AD30" t="s">
        <v>44</v>
      </c>
      <c r="AE30" t="s">
        <v>45</v>
      </c>
    </row>
    <row r="31">
      <c r="A31">
        <v>806094</v>
      </c>
      <c r="B31">
        <v>806094</v>
      </c>
      <c r="C31" t="s">
        <v>80</v>
      </c>
      <c r="D31" t="s">
        <v>66</v>
      </c>
      <c r="E31" t="s">
        <v>67</v>
      </c>
      <c r="F31" s="1">
        <v>9.2</v>
      </c>
      <c r="G31" s="2">
        <v>0.4</v>
      </c>
      <c r="H31" s="2">
        <v>0.512</v>
      </c>
      <c r="I31" s="1">
        <v>12.88</v>
      </c>
      <c r="J31" s="1">
        <f>IF(AND(ISNUMBER(F31),ISNUMBER(H31)),ROUND(F31*(1+H31),2),"")</f>
        <v>13.91</v>
      </c>
      <c r="K31" s="2">
        <f>IF(AND(ISNUMBER(I31),I31&gt;0,ISNUMBER(J31)),J31/I31-1,"")</f>
        <v>0.07996894409937894</v>
      </c>
      <c r="L31" t="s">
        <v>38</v>
      </c>
      <c r="M31" s="1">
        <v>4.29</v>
      </c>
      <c r="N31" s="1">
        <f>IF(AND(ISNUMBER(U31),U31&gt;0,ISNUMBER(J31)),ROUND(J31/U31,2),"")</f>
        <v>4.64</v>
      </c>
      <c r="Q31" t="s">
        <v>40</v>
      </c>
      <c r="R31" t="s">
        <v>39</v>
      </c>
      <c r="S31">
        <v>642172</v>
      </c>
      <c r="T31">
        <v>642172</v>
      </c>
      <c r="U31" s="3">
        <v>3</v>
      </c>
      <c r="X31" t="s">
        <v>41</v>
      </c>
      <c r="Z31" s="1">
        <v>12.88</v>
      </c>
      <c r="AA31" s="1">
        <f>IF(AND(ISNUMBER(Z31),ISNUMBER(I31),I31&gt;0,ISNUMBER(J31)),ROUND(Z31*J31/I31,2),"")</f>
        <v>13.91</v>
      </c>
      <c r="AB31" t="s">
        <v>42</v>
      </c>
      <c r="AC31" t="s">
        <v>43</v>
      </c>
      <c r="AD31" t="s">
        <v>44</v>
      </c>
      <c r="AE31" t="s">
        <v>45</v>
      </c>
    </row>
    <row r="32">
      <c r="A32">
        <v>806118</v>
      </c>
      <c r="B32">
        <v>806118</v>
      </c>
      <c r="C32" t="s">
        <v>81</v>
      </c>
      <c r="D32" t="s">
        <v>66</v>
      </c>
      <c r="E32" t="s">
        <v>82</v>
      </c>
      <c r="F32" s="1">
        <v>10.8</v>
      </c>
      <c r="G32" s="2">
        <v>0.4</v>
      </c>
      <c r="H32" s="2">
        <v>0.512</v>
      </c>
      <c r="I32" s="1">
        <v>15.12</v>
      </c>
      <c r="J32" s="1">
        <f>IF(AND(ISNUMBER(F32),ISNUMBER(H32)),ROUND(F32*(1+H32),2),"")</f>
        <v>16.33</v>
      </c>
      <c r="K32" s="2">
        <f>IF(AND(ISNUMBER(I32),I32&gt;0,ISNUMBER(J32)),J32/I32-1,"")</f>
        <v>0.08002645502645489</v>
      </c>
      <c r="L32" t="s">
        <v>38</v>
      </c>
      <c r="M32" s="1">
        <v>6.05</v>
      </c>
      <c r="N32" s="1">
        <f>IF(AND(ISNUMBER(U32),U32&gt;0,ISNUMBER(J32)),ROUND(J32/U32,2),"")</f>
        <v>6.53</v>
      </c>
      <c r="Q32" t="s">
        <v>40</v>
      </c>
      <c r="R32" t="s">
        <v>39</v>
      </c>
      <c r="S32">
        <v>527183</v>
      </c>
      <c r="T32">
        <v>527183</v>
      </c>
      <c r="U32" s="3">
        <v>2.5</v>
      </c>
      <c r="X32" t="s">
        <v>41</v>
      </c>
      <c r="Z32" s="1">
        <v>15.12</v>
      </c>
      <c r="AA32" s="1">
        <f>IF(AND(ISNUMBER(Z32),ISNUMBER(I32),I32&gt;0,ISNUMBER(J32)),ROUND(Z32*J32/I32,2),"")</f>
        <v>16.33</v>
      </c>
      <c r="AB32" t="s">
        <v>42</v>
      </c>
      <c r="AC32" t="s">
        <v>43</v>
      </c>
      <c r="AD32" t="s">
        <v>44</v>
      </c>
      <c r="AE32" t="s">
        <v>45</v>
      </c>
    </row>
    <row r="33">
      <c r="A33">
        <v>806115</v>
      </c>
      <c r="B33">
        <v>806115</v>
      </c>
      <c r="C33" t="s">
        <v>83</v>
      </c>
      <c r="D33" t="s">
        <v>66</v>
      </c>
      <c r="E33" t="s">
        <v>69</v>
      </c>
      <c r="F33" s="1">
        <v>15.6</v>
      </c>
      <c r="G33" s="2">
        <v>0.4</v>
      </c>
      <c r="H33" s="2">
        <v>0.512</v>
      </c>
      <c r="I33" s="1">
        <v>21.84</v>
      </c>
      <c r="J33" s="1">
        <f>IF(AND(ISNUMBER(F33),ISNUMBER(H33)),ROUND(F33*(1+H33),2),"")</f>
        <v>23.59</v>
      </c>
      <c r="K33" s="2">
        <f>IF(AND(ISNUMBER(I33),I33&gt;0,ISNUMBER(J33)),J33/I33-1,"")</f>
        <v>0.08012820512820507</v>
      </c>
      <c r="L33" t="s">
        <v>38</v>
      </c>
      <c r="M33" s="1">
        <v>5.46</v>
      </c>
      <c r="N33" s="1">
        <f>IF(AND(ISNUMBER(U33),U33&gt;0,ISNUMBER(J33)),ROUND(J33/U33,2),"")</f>
        <v>5.9</v>
      </c>
      <c r="Q33" t="s">
        <v>40</v>
      </c>
      <c r="R33" t="s">
        <v>39</v>
      </c>
      <c r="S33">
        <v>527180</v>
      </c>
      <c r="T33">
        <v>527180</v>
      </c>
      <c r="U33" s="3">
        <v>4</v>
      </c>
      <c r="X33" t="s">
        <v>41</v>
      </c>
      <c r="Z33" s="1">
        <v>21.84</v>
      </c>
      <c r="AA33" s="1">
        <f>IF(AND(ISNUMBER(Z33),ISNUMBER(I33),I33&gt;0,ISNUMBER(J33)),ROUND(Z33*J33/I33,2),"")</f>
        <v>23.59</v>
      </c>
      <c r="AB33" t="s">
        <v>42</v>
      </c>
      <c r="AC33" t="s">
        <v>43</v>
      </c>
      <c r="AD33" t="s">
        <v>44</v>
      </c>
      <c r="AE33" t="s">
        <v>45</v>
      </c>
    </row>
    <row r="34">
      <c r="A34">
        <v>806122</v>
      </c>
      <c r="B34">
        <v>806122</v>
      </c>
      <c r="C34" t="s">
        <v>84</v>
      </c>
      <c r="D34" t="s">
        <v>66</v>
      </c>
      <c r="E34" t="s">
        <v>69</v>
      </c>
      <c r="F34" s="1">
        <v>13.3</v>
      </c>
      <c r="G34" s="2">
        <v>0.4</v>
      </c>
      <c r="H34" s="2">
        <v>0.512</v>
      </c>
      <c r="I34" s="1">
        <v>18.62</v>
      </c>
      <c r="J34" s="1">
        <f>IF(AND(ISNUMBER(F34),ISNUMBER(H34)),ROUND(F34*(1+H34),2),"")</f>
        <v>20.11</v>
      </c>
      <c r="K34" s="2">
        <f>IF(AND(ISNUMBER(I34),I34&gt;0,ISNUMBER(J34)),J34/I34-1,"")</f>
        <v>0.08002148227712125</v>
      </c>
      <c r="L34" t="s">
        <v>38</v>
      </c>
      <c r="M34" s="1">
        <v>4.66</v>
      </c>
      <c r="N34" s="1">
        <f>IF(AND(ISNUMBER(U34),U34&gt;0,ISNUMBER(J34)),ROUND(J34/U34,2),"")</f>
        <v>5.03</v>
      </c>
      <c r="Q34" t="s">
        <v>40</v>
      </c>
      <c r="R34" t="s">
        <v>39</v>
      </c>
      <c r="S34">
        <v>527187</v>
      </c>
      <c r="T34">
        <v>527187</v>
      </c>
      <c r="U34" s="3">
        <v>4</v>
      </c>
      <c r="X34" t="s">
        <v>41</v>
      </c>
      <c r="Z34" s="1">
        <v>18.62</v>
      </c>
      <c r="AA34" s="1">
        <f>IF(AND(ISNUMBER(Z34),ISNUMBER(I34),I34&gt;0,ISNUMBER(J34)),ROUND(Z34*J34/I34,2),"")</f>
        <v>20.11</v>
      </c>
      <c r="AB34" t="s">
        <v>42</v>
      </c>
      <c r="AC34" t="s">
        <v>43</v>
      </c>
      <c r="AD34" t="s">
        <v>44</v>
      </c>
      <c r="AE34" t="s">
        <v>45</v>
      </c>
    </row>
    <row r="35">
      <c r="A35">
        <v>806125</v>
      </c>
      <c r="B35">
        <v>806125</v>
      </c>
      <c r="C35" t="s">
        <v>85</v>
      </c>
      <c r="D35" t="s">
        <v>66</v>
      </c>
      <c r="E35" t="s">
        <v>86</v>
      </c>
      <c r="F35" s="1">
        <v>8.65</v>
      </c>
      <c r="G35" s="2">
        <v>0.4</v>
      </c>
      <c r="H35" s="2">
        <v>0.512</v>
      </c>
      <c r="I35" s="1">
        <v>12.11</v>
      </c>
      <c r="J35" s="1">
        <f>IF(AND(ISNUMBER(F35),ISNUMBER(H35)),ROUND(F35*(1+H35),2),"")</f>
        <v>13.08</v>
      </c>
      <c r="K35" s="2">
        <f>IF(AND(ISNUMBER(I35),I35&gt;0,ISNUMBER(J35)),J35/I35-1,"")</f>
        <v>0.08009909165978546</v>
      </c>
      <c r="L35" t="s">
        <v>38</v>
      </c>
      <c r="M35" s="1">
        <v>6.05</v>
      </c>
      <c r="N35" s="1">
        <f>IF(AND(ISNUMBER(U35),U35&gt;0,ISNUMBER(J35)),ROUND(J35/U35,2),"")</f>
        <v>6.54</v>
      </c>
      <c r="Q35" t="s">
        <v>40</v>
      </c>
      <c r="R35" t="s">
        <v>39</v>
      </c>
      <c r="S35">
        <v>642173</v>
      </c>
      <c r="T35">
        <v>642173</v>
      </c>
      <c r="U35" s="3">
        <v>2</v>
      </c>
      <c r="X35" t="s">
        <v>41</v>
      </c>
      <c r="Z35" s="1">
        <v>12.11</v>
      </c>
      <c r="AA35" s="1">
        <f>IF(AND(ISNUMBER(Z35),ISNUMBER(I35),I35&gt;0,ISNUMBER(J35)),ROUND(Z35*J35/I35,2),"")</f>
        <v>13.08</v>
      </c>
      <c r="AB35" t="s">
        <v>42</v>
      </c>
      <c r="AC35" t="s">
        <v>43</v>
      </c>
      <c r="AD35" t="s">
        <v>48</v>
      </c>
      <c r="AE35" t="s">
        <v>45</v>
      </c>
    </row>
    <row r="36">
      <c r="A36">
        <v>806129</v>
      </c>
      <c r="B36">
        <v>806129</v>
      </c>
      <c r="C36" t="s">
        <v>87</v>
      </c>
      <c r="D36" t="s">
        <v>66</v>
      </c>
      <c r="E36" t="s">
        <v>67</v>
      </c>
      <c r="F36" s="1">
        <v>10.8</v>
      </c>
      <c r="G36" s="2">
        <v>0.4</v>
      </c>
      <c r="H36" s="2">
        <v>0.512</v>
      </c>
      <c r="I36" s="1">
        <v>15.12</v>
      </c>
      <c r="J36" s="1">
        <f>IF(AND(ISNUMBER(F36),ISNUMBER(H36)),ROUND(F36*(1+H36),2),"")</f>
        <v>16.33</v>
      </c>
      <c r="K36" s="2">
        <f>IF(AND(ISNUMBER(I36),I36&gt;0,ISNUMBER(J36)),J36/I36-1,"")</f>
        <v>0.08002645502645489</v>
      </c>
      <c r="L36" t="s">
        <v>38</v>
      </c>
      <c r="M36" s="1">
        <v>5.04</v>
      </c>
      <c r="N36" s="1">
        <f>IF(AND(ISNUMBER(U36),U36&gt;0,ISNUMBER(J36)),ROUND(J36/U36,2),"")</f>
        <v>5.44</v>
      </c>
      <c r="Q36" t="s">
        <v>40</v>
      </c>
      <c r="R36" t="s">
        <v>39</v>
      </c>
      <c r="S36">
        <v>527194</v>
      </c>
      <c r="T36">
        <v>527194</v>
      </c>
      <c r="U36" s="3">
        <v>3</v>
      </c>
      <c r="X36" t="s">
        <v>41</v>
      </c>
      <c r="Z36" s="1">
        <v>15.12</v>
      </c>
      <c r="AA36" s="1">
        <f>IF(AND(ISNUMBER(Z36),ISNUMBER(I36),I36&gt;0,ISNUMBER(J36)),ROUND(Z36*J36/I36,2),"")</f>
        <v>16.33</v>
      </c>
      <c r="AB36" t="s">
        <v>42</v>
      </c>
      <c r="AC36" t="s">
        <v>43</v>
      </c>
      <c r="AD36" t="s">
        <v>44</v>
      </c>
      <c r="AE36" t="s">
        <v>45</v>
      </c>
    </row>
    <row r="37">
      <c r="A37">
        <v>806135</v>
      </c>
      <c r="B37">
        <v>806135</v>
      </c>
      <c r="C37" t="s">
        <v>88</v>
      </c>
      <c r="D37" t="s">
        <v>66</v>
      </c>
      <c r="E37" t="s">
        <v>67</v>
      </c>
      <c r="F37" s="1">
        <v>17.7</v>
      </c>
      <c r="G37" s="2">
        <v>0.4</v>
      </c>
      <c r="H37" s="2">
        <v>0.512</v>
      </c>
      <c r="I37" s="1">
        <v>24.78</v>
      </c>
      <c r="J37" s="1">
        <f>IF(AND(ISNUMBER(F37),ISNUMBER(H37)),ROUND(F37*(1+H37),2),"")</f>
        <v>26.76</v>
      </c>
      <c r="K37" s="2">
        <f>IF(AND(ISNUMBER(I37),I37&gt;0,ISNUMBER(J37)),J37/I37-1,"")</f>
        <v>0.07990314769975781</v>
      </c>
      <c r="L37" t="s">
        <v>38</v>
      </c>
      <c r="M37" s="1">
        <v>8.26</v>
      </c>
      <c r="N37" s="1">
        <f>IF(AND(ISNUMBER(U37),U37&gt;0,ISNUMBER(J37)),ROUND(J37/U37,2),"")</f>
        <v>8.92</v>
      </c>
      <c r="Q37" t="s">
        <v>40</v>
      </c>
      <c r="R37" t="s">
        <v>39</v>
      </c>
      <c r="S37">
        <v>527200</v>
      </c>
      <c r="T37">
        <v>527200</v>
      </c>
      <c r="U37" s="3">
        <v>3</v>
      </c>
      <c r="X37" t="s">
        <v>41</v>
      </c>
      <c r="Z37" s="1">
        <v>24.78</v>
      </c>
      <c r="AA37" s="1">
        <f>IF(AND(ISNUMBER(Z37),ISNUMBER(I37),I37&gt;0,ISNUMBER(J37)),ROUND(Z37*J37/I37,2),"")</f>
        <v>26.76</v>
      </c>
      <c r="AB37" t="s">
        <v>42</v>
      </c>
      <c r="AC37" t="s">
        <v>43</v>
      </c>
      <c r="AD37" t="s">
        <v>44</v>
      </c>
      <c r="AE37" t="s">
        <v>45</v>
      </c>
    </row>
    <row r="38">
      <c r="A38">
        <v>806137</v>
      </c>
      <c r="B38">
        <v>806137</v>
      </c>
      <c r="C38" t="s">
        <v>89</v>
      </c>
      <c r="D38" t="s">
        <v>66</v>
      </c>
      <c r="E38" t="s">
        <v>69</v>
      </c>
      <c r="F38" s="1">
        <v>13.25</v>
      </c>
      <c r="G38" s="2">
        <v>0.4</v>
      </c>
      <c r="H38" s="2">
        <v>0.512</v>
      </c>
      <c r="I38" s="1">
        <v>18.55</v>
      </c>
      <c r="J38" s="1">
        <f>IF(AND(ISNUMBER(F38),ISNUMBER(H38)),ROUND(F38*(1+H38),2),"")</f>
        <v>20.03</v>
      </c>
      <c r="K38" s="2">
        <f>IF(AND(ISNUMBER(I38),I38&gt;0,ISNUMBER(J38)),J38/I38-1,"")</f>
        <v>0.07978436657681942</v>
      </c>
      <c r="L38" t="s">
        <v>38</v>
      </c>
      <c r="M38" s="1">
        <v>4.64</v>
      </c>
      <c r="N38" s="1">
        <f>IF(AND(ISNUMBER(U38),U38&gt;0,ISNUMBER(J38)),ROUND(J38/U38,2),"")</f>
        <v>5.01</v>
      </c>
      <c r="Q38" t="s">
        <v>40</v>
      </c>
      <c r="R38" t="s">
        <v>39</v>
      </c>
      <c r="S38">
        <v>527202</v>
      </c>
      <c r="T38">
        <v>527202</v>
      </c>
      <c r="U38" s="3">
        <v>4</v>
      </c>
      <c r="X38" t="s">
        <v>41</v>
      </c>
      <c r="Z38" s="1">
        <v>18.55</v>
      </c>
      <c r="AA38" s="1">
        <f>IF(AND(ISNUMBER(Z38),ISNUMBER(I38),I38&gt;0,ISNUMBER(J38)),ROUND(Z38*J38/I38,2),"")</f>
        <v>20.03</v>
      </c>
      <c r="AB38" t="s">
        <v>42</v>
      </c>
      <c r="AC38" t="s">
        <v>43</v>
      </c>
      <c r="AD38" t="s">
        <v>48</v>
      </c>
      <c r="AE38" t="s">
        <v>45</v>
      </c>
    </row>
    <row r="39">
      <c r="A39">
        <v>995528</v>
      </c>
      <c r="B39">
        <v>995528</v>
      </c>
      <c r="C39" t="s">
        <v>90</v>
      </c>
      <c r="D39" t="s">
        <v>91</v>
      </c>
      <c r="E39" t="s">
        <v>92</v>
      </c>
      <c r="F39" s="1">
        <v>2.25</v>
      </c>
      <c r="G39" s="2">
        <v>0.4</v>
      </c>
      <c r="H39" s="2">
        <v>0.512</v>
      </c>
      <c r="I39" s="1">
        <v>3.15</v>
      </c>
      <c r="J39" s="1">
        <f>IF(AND(ISNUMBER(F39),ISNUMBER(H39)),ROUND(F39*(1+H39),2),"")</f>
        <v>3.4</v>
      </c>
      <c r="K39" s="2">
        <f>IF(AND(ISNUMBER(I39),I39&gt;0,ISNUMBER(J39)),J39/I39-1,"")</f>
        <v>0.0793650793650793</v>
      </c>
      <c r="L39" t="s">
        <v>38</v>
      </c>
      <c r="M39" s="1">
        <v>3.15</v>
      </c>
      <c r="N39" s="1">
        <f>IF(AND(ISNUMBER(U39),U39&gt;0,ISNUMBER(J39)),ROUND(J39/U39,2),"")</f>
        <v>3.4</v>
      </c>
      <c r="Q39" t="s">
        <v>40</v>
      </c>
      <c r="R39" t="s">
        <v>39</v>
      </c>
      <c r="S39">
        <v>769868</v>
      </c>
      <c r="T39">
        <v>769868</v>
      </c>
      <c r="U39" s="3">
        <v>1</v>
      </c>
      <c r="X39" t="s">
        <v>41</v>
      </c>
      <c r="Z39" s="1">
        <v>3.15</v>
      </c>
      <c r="AA39" s="1">
        <f>IF(AND(ISNUMBER(Z39),ISNUMBER(I39),I39&gt;0,ISNUMBER(J39)),ROUND(Z39*J39/I39,2),"")</f>
        <v>3.4</v>
      </c>
      <c r="AB39" t="s">
        <v>42</v>
      </c>
      <c r="AC39" t="s">
        <v>43</v>
      </c>
      <c r="AD39" t="s">
        <v>48</v>
      </c>
      <c r="AE39" t="s">
        <v>45</v>
      </c>
    </row>
    <row r="40">
      <c r="A40">
        <v>1133120</v>
      </c>
      <c r="B40">
        <v>1133120</v>
      </c>
      <c r="C40" t="s">
        <v>93</v>
      </c>
      <c r="D40" t="s">
        <v>91</v>
      </c>
      <c r="E40" t="s">
        <v>94</v>
      </c>
      <c r="F40" s="1">
        <v>2.5</v>
      </c>
      <c r="G40" s="2">
        <v>0.4</v>
      </c>
      <c r="H40" s="2">
        <v>0.512</v>
      </c>
      <c r="I40" s="1">
        <v>3.5</v>
      </c>
      <c r="J40" s="1">
        <f>IF(AND(ISNUMBER(F40),ISNUMBER(H40)),ROUND(F40*(1+H40),2),"")</f>
        <v>3.78</v>
      </c>
      <c r="K40" s="2">
        <f>IF(AND(ISNUMBER(I40),I40&gt;0,ISNUMBER(J40)),J40/I40-1,"")</f>
        <v>0.07999999999999985</v>
      </c>
      <c r="L40" t="s">
        <v>38</v>
      </c>
      <c r="N40" s="1" t="s">
        <f>IF(AND(ISNUMBER(U40),U40&gt;0,ISNUMBER(J40)),ROUND(J40/U40,2),"")</f>
        <v>39</v>
      </c>
      <c r="Q40" t="s">
        <v>40</v>
      </c>
      <c r="R40" t="s">
        <v>39</v>
      </c>
      <c r="S40">
        <v>968059</v>
      </c>
      <c r="T40">
        <v>968059</v>
      </c>
      <c r="X40" t="s">
        <v>41</v>
      </c>
      <c r="Z40" s="1">
        <v>3.5</v>
      </c>
      <c r="AA40" s="1">
        <f>IF(AND(ISNUMBER(Z40),ISNUMBER(I40),I40&gt;0,ISNUMBER(J40)),ROUND(Z40*J40/I40,2),"")</f>
        <v>3.78</v>
      </c>
      <c r="AB40" t="s">
        <v>42</v>
      </c>
      <c r="AC40" t="s">
        <v>43</v>
      </c>
      <c r="AD40" t="s">
        <v>48</v>
      </c>
      <c r="AE40" t="s">
        <v>45</v>
      </c>
    </row>
    <row r="41">
      <c r="A41">
        <v>805950</v>
      </c>
      <c r="B41">
        <v>805950</v>
      </c>
      <c r="C41" t="s">
        <v>95</v>
      </c>
      <c r="D41" t="s">
        <v>91</v>
      </c>
      <c r="E41" t="s">
        <v>96</v>
      </c>
      <c r="F41" s="1">
        <v>1.1</v>
      </c>
      <c r="G41" s="2">
        <v>0.4</v>
      </c>
      <c r="H41" s="2">
        <v>0.512</v>
      </c>
      <c r="I41" s="1">
        <v>1.54</v>
      </c>
      <c r="J41" s="1">
        <f>IF(AND(ISNUMBER(F41),ISNUMBER(H41)),ROUND(F41*(1+H41),2),"")</f>
        <v>1.66</v>
      </c>
      <c r="K41" s="2">
        <f>IF(AND(ISNUMBER(I41),I41&gt;0,ISNUMBER(J41)),J41/I41-1,"")</f>
        <v>0.07792207792207795</v>
      </c>
      <c r="L41" t="s">
        <v>38</v>
      </c>
      <c r="N41" s="1" t="s">
        <f>IF(AND(ISNUMBER(U41),U41&gt;0,ISNUMBER(J41)),ROUND(J41/U41,2),"")</f>
        <v>39</v>
      </c>
      <c r="Q41" t="s">
        <v>40</v>
      </c>
      <c r="R41" t="s">
        <v>39</v>
      </c>
      <c r="S41">
        <v>527010</v>
      </c>
      <c r="T41">
        <v>527010</v>
      </c>
      <c r="X41" t="s">
        <v>41</v>
      </c>
      <c r="Z41" s="1">
        <v>1.54</v>
      </c>
      <c r="AA41" s="1">
        <f>IF(AND(ISNUMBER(Z41),ISNUMBER(I41),I41&gt;0,ISNUMBER(J41)),ROUND(Z41*J41/I41,2),"")</f>
        <v>1.66</v>
      </c>
      <c r="AB41" t="s">
        <v>42</v>
      </c>
      <c r="AC41" t="s">
        <v>43</v>
      </c>
      <c r="AD41" t="s">
        <v>44</v>
      </c>
      <c r="AE41" t="s">
        <v>45</v>
      </c>
    </row>
    <row r="42">
      <c r="A42">
        <v>1121876</v>
      </c>
      <c r="B42">
        <v>1121876</v>
      </c>
      <c r="C42" t="s">
        <v>97</v>
      </c>
      <c r="D42" t="s">
        <v>91</v>
      </c>
      <c r="E42" t="s">
        <v>98</v>
      </c>
      <c r="F42" s="1">
        <v>2</v>
      </c>
      <c r="G42" s="2">
        <v>0.4</v>
      </c>
      <c r="H42" s="2">
        <v>0.512</v>
      </c>
      <c r="I42" s="1">
        <v>2.8</v>
      </c>
      <c r="J42" s="1">
        <f>IF(AND(ISNUMBER(F42),ISNUMBER(H42)),ROUND(F42*(1+H42),2),"")</f>
        <v>3.02</v>
      </c>
      <c r="K42" s="2">
        <f>IF(AND(ISNUMBER(I42),I42&gt;0,ISNUMBER(J42)),J42/I42-1,"")</f>
        <v>0.07857142857142874</v>
      </c>
      <c r="L42" t="s">
        <v>38</v>
      </c>
      <c r="N42" s="1" t="s">
        <f>IF(AND(ISNUMBER(U42),U42&gt;0,ISNUMBER(J42)),ROUND(J42/U42,2),"")</f>
        <v>39</v>
      </c>
      <c r="Q42" t="s">
        <v>40</v>
      </c>
      <c r="R42" t="s">
        <v>39</v>
      </c>
      <c r="S42">
        <v>950198</v>
      </c>
      <c r="T42">
        <v>950198</v>
      </c>
      <c r="X42" t="s">
        <v>41</v>
      </c>
      <c r="Z42" s="1">
        <v>2.8</v>
      </c>
      <c r="AA42" s="1">
        <f>IF(AND(ISNUMBER(Z42),ISNUMBER(I42),I42&gt;0,ISNUMBER(J42)),ROUND(Z42*J42/I42,2),"")</f>
        <v>3.02</v>
      </c>
      <c r="AB42" t="s">
        <v>42</v>
      </c>
      <c r="AC42" t="s">
        <v>43</v>
      </c>
      <c r="AD42" t="s">
        <v>48</v>
      </c>
      <c r="AE42" t="s">
        <v>45</v>
      </c>
    </row>
    <row r="43">
      <c r="A43">
        <v>890656</v>
      </c>
      <c r="B43">
        <v>890656</v>
      </c>
      <c r="C43" t="s">
        <v>99</v>
      </c>
      <c r="D43" t="s">
        <v>91</v>
      </c>
      <c r="E43" t="s">
        <v>100</v>
      </c>
      <c r="F43" s="1">
        <v>2.5</v>
      </c>
      <c r="G43" s="2">
        <v>0.4</v>
      </c>
      <c r="H43" s="2">
        <v>0.512</v>
      </c>
      <c r="I43" s="1">
        <v>3.5</v>
      </c>
      <c r="J43" s="1">
        <f>IF(AND(ISNUMBER(F43),ISNUMBER(H43)),ROUND(F43*(1+H43),2),"")</f>
        <v>3.78</v>
      </c>
      <c r="K43" s="2">
        <f>IF(AND(ISNUMBER(I43),I43&gt;0,ISNUMBER(J43)),J43/I43-1,"")</f>
        <v>0.07999999999999985</v>
      </c>
      <c r="L43" t="s">
        <v>38</v>
      </c>
      <c r="M43" s="1">
        <v>3.5</v>
      </c>
      <c r="N43" s="1">
        <f>IF(AND(ISNUMBER(U43),U43&gt;0,ISNUMBER(J43)),ROUND(J43/U43,2),"")</f>
        <v>3.78</v>
      </c>
      <c r="Q43" t="s">
        <v>40</v>
      </c>
      <c r="R43" t="s">
        <v>39</v>
      </c>
      <c r="S43">
        <v>630145</v>
      </c>
      <c r="T43">
        <v>630145</v>
      </c>
      <c r="U43" s="3">
        <v>1</v>
      </c>
      <c r="X43" t="s">
        <v>41</v>
      </c>
      <c r="Z43" s="1">
        <v>3.5</v>
      </c>
      <c r="AA43" s="1">
        <f>IF(AND(ISNUMBER(Z43),ISNUMBER(I43),I43&gt;0,ISNUMBER(J43)),ROUND(Z43*J43/I43,2),"")</f>
        <v>3.78</v>
      </c>
      <c r="AB43" t="s">
        <v>42</v>
      </c>
      <c r="AC43" t="s">
        <v>43</v>
      </c>
      <c r="AD43" t="s">
        <v>48</v>
      </c>
      <c r="AE43" t="s">
        <v>45</v>
      </c>
    </row>
    <row r="44">
      <c r="A44">
        <v>899385</v>
      </c>
      <c r="B44">
        <v>899385</v>
      </c>
      <c r="C44" t="s">
        <v>99</v>
      </c>
      <c r="D44" t="s">
        <v>91</v>
      </c>
      <c r="E44" t="s">
        <v>63</v>
      </c>
      <c r="F44" s="1">
        <v>5</v>
      </c>
      <c r="G44" s="2">
        <v>0.4</v>
      </c>
      <c r="H44" s="2">
        <v>0.512</v>
      </c>
      <c r="I44" s="1">
        <v>7</v>
      </c>
      <c r="J44" s="1">
        <f>IF(AND(ISNUMBER(F44),ISNUMBER(H44)),ROUND(F44*(1+H44),2),"")</f>
        <v>7.56</v>
      </c>
      <c r="K44" s="2">
        <f>IF(AND(ISNUMBER(I44),I44&gt;0,ISNUMBER(J44)),J44/I44-1,"")</f>
        <v>0.07999999999999985</v>
      </c>
      <c r="L44" t="s">
        <v>38</v>
      </c>
      <c r="N44" s="1" t="s">
        <f>IF(AND(ISNUMBER(U44),U44&gt;0,ISNUMBER(J44)),ROUND(J44/U44,2),"")</f>
        <v>39</v>
      </c>
      <c r="Q44" t="s">
        <v>40</v>
      </c>
      <c r="R44" t="s">
        <v>39</v>
      </c>
      <c r="S44">
        <v>641280</v>
      </c>
      <c r="T44">
        <v>641280</v>
      </c>
      <c r="X44" t="s">
        <v>41</v>
      </c>
      <c r="Z44" s="1">
        <v>7</v>
      </c>
      <c r="AA44" s="1">
        <f>IF(AND(ISNUMBER(Z44),ISNUMBER(I44),I44&gt;0,ISNUMBER(J44)),ROUND(Z44*J44/I44,2),"")</f>
        <v>7.56</v>
      </c>
      <c r="AB44" t="s">
        <v>42</v>
      </c>
      <c r="AC44" t="s">
        <v>43</v>
      </c>
      <c r="AD44" t="s">
        <v>48</v>
      </c>
      <c r="AE44" t="s">
        <v>45</v>
      </c>
    </row>
    <row r="45">
      <c r="A45">
        <v>921358</v>
      </c>
      <c r="B45">
        <v>921358</v>
      </c>
      <c r="C45" t="s">
        <v>101</v>
      </c>
      <c r="D45" t="s">
        <v>91</v>
      </c>
      <c r="E45" t="s">
        <v>63</v>
      </c>
      <c r="F45" s="1">
        <v>4.5</v>
      </c>
      <c r="G45" s="2">
        <v>0.4</v>
      </c>
      <c r="H45" s="2">
        <v>0.512</v>
      </c>
      <c r="I45" s="1">
        <v>6.3</v>
      </c>
      <c r="J45" s="1">
        <f>IF(AND(ISNUMBER(F45),ISNUMBER(H45)),ROUND(F45*(1+H45),2),"")</f>
        <v>6.8</v>
      </c>
      <c r="K45" s="2">
        <f>IF(AND(ISNUMBER(I45),I45&gt;0,ISNUMBER(J45)),J45/I45-1,"")</f>
        <v>0.0793650793650793</v>
      </c>
      <c r="L45" t="s">
        <v>38</v>
      </c>
      <c r="N45" s="1" t="s">
        <f>IF(AND(ISNUMBER(U45),U45&gt;0,ISNUMBER(J45)),ROUND(J45/U45,2),"")</f>
        <v>39</v>
      </c>
      <c r="Q45" t="s">
        <v>40</v>
      </c>
      <c r="R45" t="s">
        <v>39</v>
      </c>
      <c r="S45">
        <v>667810</v>
      </c>
      <c r="T45">
        <v>667810</v>
      </c>
      <c r="X45" t="s">
        <v>41</v>
      </c>
      <c r="Z45" s="1">
        <v>6.3</v>
      </c>
      <c r="AA45" s="1">
        <f>IF(AND(ISNUMBER(Z45),ISNUMBER(I45),I45&gt;0,ISNUMBER(J45)),ROUND(Z45*J45/I45,2),"")</f>
        <v>6.8</v>
      </c>
      <c r="AB45" t="s">
        <v>42</v>
      </c>
      <c r="AC45" t="s">
        <v>43</v>
      </c>
      <c r="AD45" t="s">
        <v>48</v>
      </c>
      <c r="AE45" t="s">
        <v>45</v>
      </c>
    </row>
    <row r="46">
      <c r="A46">
        <v>915293</v>
      </c>
      <c r="B46">
        <v>915293</v>
      </c>
      <c r="C46" t="s">
        <v>102</v>
      </c>
      <c r="D46" t="s">
        <v>91</v>
      </c>
      <c r="E46" t="s">
        <v>100</v>
      </c>
      <c r="F46" s="1">
        <v>2.5</v>
      </c>
      <c r="G46" s="2">
        <v>0.4</v>
      </c>
      <c r="H46" s="2">
        <v>0.512</v>
      </c>
      <c r="I46" s="1">
        <v>3.5</v>
      </c>
      <c r="J46" s="1">
        <f>IF(AND(ISNUMBER(F46),ISNUMBER(H46)),ROUND(F46*(1+H46),2),"")</f>
        <v>3.78</v>
      </c>
      <c r="K46" s="2">
        <f>IF(AND(ISNUMBER(I46),I46&gt;0,ISNUMBER(J46)),J46/I46-1,"")</f>
        <v>0.07999999999999985</v>
      </c>
      <c r="L46" t="s">
        <v>38</v>
      </c>
      <c r="M46" s="1">
        <v>3.5</v>
      </c>
      <c r="N46" s="1">
        <f>IF(AND(ISNUMBER(U46),U46&gt;0,ISNUMBER(J46)),ROUND(J46/U46,2),"")</f>
        <v>3.78</v>
      </c>
      <c r="Q46" t="s">
        <v>40</v>
      </c>
      <c r="R46" t="s">
        <v>39</v>
      </c>
      <c r="S46">
        <v>661228</v>
      </c>
      <c r="T46">
        <v>661228</v>
      </c>
      <c r="U46" s="3">
        <v>1</v>
      </c>
      <c r="X46" t="s">
        <v>41</v>
      </c>
      <c r="Z46" s="1">
        <v>3.5</v>
      </c>
      <c r="AA46" s="1">
        <f>IF(AND(ISNUMBER(Z46),ISNUMBER(I46),I46&gt;0,ISNUMBER(J46)),ROUND(Z46*J46/I46,2),"")</f>
        <v>3.78</v>
      </c>
      <c r="AB46" t="s">
        <v>42</v>
      </c>
      <c r="AC46" t="s">
        <v>43</v>
      </c>
      <c r="AD46" t="s">
        <v>48</v>
      </c>
      <c r="AE46" t="s">
        <v>45</v>
      </c>
    </row>
    <row r="47">
      <c r="A47">
        <v>987329</v>
      </c>
      <c r="B47">
        <v>987329</v>
      </c>
      <c r="C47" t="s">
        <v>102</v>
      </c>
      <c r="D47" t="s">
        <v>91</v>
      </c>
      <c r="E47" t="s">
        <v>63</v>
      </c>
      <c r="F47" s="1">
        <v>5</v>
      </c>
      <c r="G47" s="2">
        <v>0.4</v>
      </c>
      <c r="H47" s="2">
        <v>0.512</v>
      </c>
      <c r="I47" s="1">
        <v>7</v>
      </c>
      <c r="J47" s="1">
        <f>IF(AND(ISNUMBER(F47),ISNUMBER(H47)),ROUND(F47*(1+H47),2),"")</f>
        <v>7.56</v>
      </c>
      <c r="K47" s="2">
        <f>IF(AND(ISNUMBER(I47),I47&gt;0,ISNUMBER(J47)),J47/I47-1,"")</f>
        <v>0.07999999999999985</v>
      </c>
      <c r="L47" t="s">
        <v>38</v>
      </c>
      <c r="N47" s="1" t="s">
        <f>IF(AND(ISNUMBER(U47),U47&gt;0,ISNUMBER(J47)),ROUND(J47/U47,2),"")</f>
        <v>39</v>
      </c>
      <c r="Q47" t="s">
        <v>40</v>
      </c>
      <c r="R47" t="s">
        <v>39</v>
      </c>
      <c r="S47">
        <v>758110</v>
      </c>
      <c r="T47">
        <v>758110</v>
      </c>
      <c r="X47" t="s">
        <v>41</v>
      </c>
      <c r="Z47" s="1">
        <v>7</v>
      </c>
      <c r="AA47" s="1">
        <f>IF(AND(ISNUMBER(Z47),ISNUMBER(I47),I47&gt;0,ISNUMBER(J47)),ROUND(Z47*J47/I47,2),"")</f>
        <v>7.56</v>
      </c>
      <c r="AB47" t="s">
        <v>42</v>
      </c>
      <c r="AC47" t="s">
        <v>43</v>
      </c>
      <c r="AD47" t="s">
        <v>48</v>
      </c>
      <c r="AE47" t="s">
        <v>45</v>
      </c>
    </row>
    <row r="48">
      <c r="A48">
        <v>805872</v>
      </c>
      <c r="B48">
        <v>805872</v>
      </c>
      <c r="C48" t="s">
        <v>103</v>
      </c>
      <c r="D48" t="s">
        <v>91</v>
      </c>
      <c r="E48" t="s">
        <v>96</v>
      </c>
      <c r="F48" s="1">
        <v>2.5</v>
      </c>
      <c r="G48" s="2">
        <v>0.4</v>
      </c>
      <c r="H48" s="2">
        <v>0.512</v>
      </c>
      <c r="I48" s="1">
        <v>3.5</v>
      </c>
      <c r="J48" s="1">
        <f>IF(AND(ISNUMBER(F48),ISNUMBER(H48)),ROUND(F48*(1+H48),2),"")</f>
        <v>3.78</v>
      </c>
      <c r="K48" s="2">
        <f>IF(AND(ISNUMBER(I48),I48&gt;0,ISNUMBER(J48)),J48/I48-1,"")</f>
        <v>0.07999999999999985</v>
      </c>
      <c r="L48" t="s">
        <v>38</v>
      </c>
      <c r="N48" s="1" t="s">
        <f>IF(AND(ISNUMBER(U48),U48&gt;0,ISNUMBER(J48)),ROUND(J48/U48,2),"")</f>
        <v>39</v>
      </c>
      <c r="Q48" t="s">
        <v>40</v>
      </c>
      <c r="R48" t="s">
        <v>39</v>
      </c>
      <c r="S48">
        <v>526930</v>
      </c>
      <c r="T48">
        <v>526930</v>
      </c>
      <c r="X48" t="s">
        <v>41</v>
      </c>
      <c r="Z48" s="1">
        <v>3.5</v>
      </c>
      <c r="AA48" s="1">
        <f>IF(AND(ISNUMBER(Z48),ISNUMBER(I48),I48&gt;0,ISNUMBER(J48)),ROUND(Z48*J48/I48,2),"")</f>
        <v>3.78</v>
      </c>
      <c r="AB48" t="s">
        <v>42</v>
      </c>
      <c r="AC48" t="s">
        <v>43</v>
      </c>
      <c r="AD48" t="s">
        <v>48</v>
      </c>
      <c r="AE48" t="s">
        <v>45</v>
      </c>
    </row>
    <row r="49">
      <c r="A49">
        <v>964215</v>
      </c>
      <c r="B49">
        <v>964215</v>
      </c>
      <c r="C49" t="s">
        <v>104</v>
      </c>
      <c r="D49" t="s">
        <v>91</v>
      </c>
      <c r="E49" t="s">
        <v>98</v>
      </c>
      <c r="F49" s="1">
        <v>2</v>
      </c>
      <c r="G49" s="2">
        <v>0.4</v>
      </c>
      <c r="H49" s="2">
        <v>0.512</v>
      </c>
      <c r="I49" s="1">
        <v>2.8</v>
      </c>
      <c r="J49" s="1">
        <f>IF(AND(ISNUMBER(F49),ISNUMBER(H49)),ROUND(F49*(1+H49),2),"")</f>
        <v>3.02</v>
      </c>
      <c r="K49" s="2">
        <f>IF(AND(ISNUMBER(I49),I49&gt;0,ISNUMBER(J49)),J49/I49-1,"")</f>
        <v>0.07857142857142874</v>
      </c>
      <c r="L49" t="s">
        <v>38</v>
      </c>
      <c r="N49" s="1" t="s">
        <f>IF(AND(ISNUMBER(U49),U49&gt;0,ISNUMBER(J49)),ROUND(J49/U49,2),"")</f>
        <v>39</v>
      </c>
      <c r="Q49" t="s">
        <v>40</v>
      </c>
      <c r="R49" t="s">
        <v>39</v>
      </c>
      <c r="S49">
        <v>725650</v>
      </c>
      <c r="T49">
        <v>725650</v>
      </c>
      <c r="X49" t="s">
        <v>41</v>
      </c>
      <c r="Z49" s="1">
        <v>2.8</v>
      </c>
      <c r="AA49" s="1">
        <f>IF(AND(ISNUMBER(Z49),ISNUMBER(I49),I49&gt;0,ISNUMBER(J49)),ROUND(Z49*J49/I49,2),"")</f>
        <v>3.02</v>
      </c>
      <c r="AB49" t="s">
        <v>42</v>
      </c>
      <c r="AC49" t="s">
        <v>43</v>
      </c>
      <c r="AD49" t="s">
        <v>48</v>
      </c>
      <c r="AE49" t="s">
        <v>45</v>
      </c>
    </row>
    <row r="50">
      <c r="A50">
        <v>988809</v>
      </c>
      <c r="B50">
        <v>988809</v>
      </c>
      <c r="C50" t="s">
        <v>105</v>
      </c>
      <c r="D50" t="s">
        <v>91</v>
      </c>
      <c r="E50" t="s">
        <v>106</v>
      </c>
      <c r="F50" s="1">
        <v>2.35</v>
      </c>
      <c r="G50" s="2">
        <v>0.4</v>
      </c>
      <c r="H50" s="2">
        <v>0.512</v>
      </c>
      <c r="I50" s="1">
        <v>3.29</v>
      </c>
      <c r="J50" s="1">
        <f>IF(AND(ISNUMBER(F50),ISNUMBER(H50)),ROUND(F50*(1+H50),2),"")</f>
        <v>3.55</v>
      </c>
      <c r="K50" s="2">
        <f>IF(AND(ISNUMBER(I50),I50&gt;0,ISNUMBER(J50)),J50/I50-1,"")</f>
        <v>0.07902735562310026</v>
      </c>
      <c r="L50" t="s">
        <v>38</v>
      </c>
      <c r="N50" s="1" t="s">
        <f>IF(AND(ISNUMBER(U50),U50&gt;0,ISNUMBER(J50)),ROUND(J50/U50,2),"")</f>
        <v>39</v>
      </c>
      <c r="Q50" t="s">
        <v>40</v>
      </c>
      <c r="R50" t="s">
        <v>39</v>
      </c>
      <c r="S50">
        <v>760367</v>
      </c>
      <c r="T50">
        <v>760367</v>
      </c>
      <c r="X50" t="s">
        <v>41</v>
      </c>
      <c r="Z50" s="1">
        <v>3.29</v>
      </c>
      <c r="AA50" s="1">
        <f>IF(AND(ISNUMBER(Z50),ISNUMBER(I50),I50&gt;0,ISNUMBER(J50)),ROUND(Z50*J50/I50,2),"")</f>
        <v>3.55</v>
      </c>
      <c r="AB50" t="s">
        <v>42</v>
      </c>
      <c r="AC50" t="s">
        <v>43</v>
      </c>
      <c r="AD50" t="s">
        <v>44</v>
      </c>
      <c r="AE50" t="s">
        <v>45</v>
      </c>
    </row>
    <row r="51">
      <c r="A51">
        <v>1108431</v>
      </c>
      <c r="B51">
        <v>1108431</v>
      </c>
      <c r="C51" t="s">
        <v>107</v>
      </c>
      <c r="D51" t="s">
        <v>91</v>
      </c>
      <c r="E51" t="s">
        <v>98</v>
      </c>
      <c r="F51" s="1">
        <v>2</v>
      </c>
      <c r="G51" s="2">
        <v>0.4</v>
      </c>
      <c r="H51" s="2">
        <v>0.512</v>
      </c>
      <c r="I51" s="1">
        <v>2.8</v>
      </c>
      <c r="J51" s="1">
        <f>IF(AND(ISNUMBER(F51),ISNUMBER(H51)),ROUND(F51*(1+H51),2),"")</f>
        <v>3.02</v>
      </c>
      <c r="K51" s="2">
        <f>IF(AND(ISNUMBER(I51),I51&gt;0,ISNUMBER(J51)),J51/I51-1,"")</f>
        <v>0.07857142857142874</v>
      </c>
      <c r="L51" t="s">
        <v>38</v>
      </c>
      <c r="N51" s="1" t="s">
        <f>IF(AND(ISNUMBER(U51),U51&gt;0,ISNUMBER(J51)),ROUND(J51/U51,2),"")</f>
        <v>39</v>
      </c>
      <c r="Q51" t="s">
        <v>40</v>
      </c>
      <c r="R51" t="s">
        <v>39</v>
      </c>
      <c r="S51">
        <v>927192</v>
      </c>
      <c r="T51">
        <v>927192</v>
      </c>
      <c r="X51" t="s">
        <v>41</v>
      </c>
      <c r="Z51" s="1">
        <v>2.8</v>
      </c>
      <c r="AA51" s="1">
        <f>IF(AND(ISNUMBER(Z51),ISNUMBER(I51),I51&gt;0,ISNUMBER(J51)),ROUND(Z51*J51/I51,2),"")</f>
        <v>3.02</v>
      </c>
      <c r="AB51" t="s">
        <v>42</v>
      </c>
      <c r="AC51" t="s">
        <v>43</v>
      </c>
      <c r="AD51" t="s">
        <v>48</v>
      </c>
      <c r="AE51" t="s">
        <v>45</v>
      </c>
    </row>
    <row r="52">
      <c r="A52">
        <v>919246</v>
      </c>
      <c r="B52">
        <v>919246</v>
      </c>
      <c r="C52" t="s">
        <v>108</v>
      </c>
      <c r="D52" t="s">
        <v>91</v>
      </c>
      <c r="E52" t="s">
        <v>96</v>
      </c>
      <c r="F52" s="1">
        <v>2.25</v>
      </c>
      <c r="G52" s="2">
        <v>0.4</v>
      </c>
      <c r="H52" s="2">
        <v>0.512</v>
      </c>
      <c r="I52" s="1">
        <v>3.15</v>
      </c>
      <c r="J52" s="1">
        <f>IF(AND(ISNUMBER(F52),ISNUMBER(H52)),ROUND(F52*(1+H52),2),"")</f>
        <v>3.4</v>
      </c>
      <c r="K52" s="2">
        <f>IF(AND(ISNUMBER(I52),I52&gt;0,ISNUMBER(J52)),J52/I52-1,"")</f>
        <v>0.0793650793650793</v>
      </c>
      <c r="L52" t="s">
        <v>38</v>
      </c>
      <c r="N52" s="1" t="s">
        <f>IF(AND(ISNUMBER(U52),U52&gt;0,ISNUMBER(J52)),ROUND(J52/U52,2),"")</f>
        <v>39</v>
      </c>
      <c r="Q52" t="s">
        <v>40</v>
      </c>
      <c r="R52" t="s">
        <v>39</v>
      </c>
      <c r="S52">
        <v>665174</v>
      </c>
      <c r="T52">
        <v>665174</v>
      </c>
      <c r="X52" t="s">
        <v>41</v>
      </c>
      <c r="Z52" s="1">
        <v>3.15</v>
      </c>
      <c r="AA52" s="1">
        <f>IF(AND(ISNUMBER(Z52),ISNUMBER(I52),I52&gt;0,ISNUMBER(J52)),ROUND(Z52*J52/I52,2),"")</f>
        <v>3.4</v>
      </c>
      <c r="AB52" t="s">
        <v>42</v>
      </c>
      <c r="AC52" t="s">
        <v>43</v>
      </c>
      <c r="AD52" t="s">
        <v>44</v>
      </c>
      <c r="AE52" t="s">
        <v>45</v>
      </c>
    </row>
    <row r="53">
      <c r="A53">
        <v>1131919</v>
      </c>
      <c r="B53">
        <v>1131919</v>
      </c>
      <c r="C53" t="s">
        <v>109</v>
      </c>
      <c r="D53" t="s">
        <v>91</v>
      </c>
      <c r="E53" t="s">
        <v>63</v>
      </c>
      <c r="F53" s="1">
        <v>2.5</v>
      </c>
      <c r="G53" s="2">
        <v>0.4</v>
      </c>
      <c r="H53" s="2">
        <v>0.512</v>
      </c>
      <c r="I53" s="1">
        <v>3.5</v>
      </c>
      <c r="J53" s="1">
        <f>IF(AND(ISNUMBER(F53),ISNUMBER(H53)),ROUND(F53*(1+H53),2),"")</f>
        <v>3.78</v>
      </c>
      <c r="K53" s="2">
        <f>IF(AND(ISNUMBER(I53),I53&gt;0,ISNUMBER(J53)),J53/I53-1,"")</f>
        <v>0.07999999999999985</v>
      </c>
      <c r="L53" t="s">
        <v>38</v>
      </c>
      <c r="N53" s="1" t="s">
        <f>IF(AND(ISNUMBER(U53),U53&gt;0,ISNUMBER(J53)),ROUND(J53/U53,2),"")</f>
        <v>39</v>
      </c>
      <c r="Q53" t="s">
        <v>40</v>
      </c>
      <c r="R53" t="s">
        <v>39</v>
      </c>
      <c r="S53">
        <v>966334</v>
      </c>
      <c r="T53">
        <v>966334</v>
      </c>
      <c r="X53" t="s">
        <v>41</v>
      </c>
      <c r="Z53" s="1">
        <v>3.5</v>
      </c>
      <c r="AA53" s="1">
        <f>IF(AND(ISNUMBER(Z53),ISNUMBER(I53),I53&gt;0,ISNUMBER(J53)),ROUND(Z53*J53/I53,2),"")</f>
        <v>3.78</v>
      </c>
      <c r="AB53" t="s">
        <v>42</v>
      </c>
      <c r="AC53" t="s">
        <v>43</v>
      </c>
      <c r="AD53" t="s">
        <v>48</v>
      </c>
      <c r="AE53" t="s">
        <v>45</v>
      </c>
    </row>
    <row r="54">
      <c r="A54">
        <v>805889</v>
      </c>
      <c r="B54">
        <v>805889</v>
      </c>
      <c r="C54" t="s">
        <v>110</v>
      </c>
      <c r="D54" t="s">
        <v>91</v>
      </c>
      <c r="E54" t="s">
        <v>96</v>
      </c>
      <c r="F54" s="1">
        <v>2</v>
      </c>
      <c r="G54" s="2">
        <v>0.4</v>
      </c>
      <c r="H54" s="2">
        <v>0.512</v>
      </c>
      <c r="I54" s="1">
        <v>2.8</v>
      </c>
      <c r="J54" s="1">
        <f>IF(AND(ISNUMBER(F54),ISNUMBER(H54)),ROUND(F54*(1+H54),2),"")</f>
        <v>3.02</v>
      </c>
      <c r="K54" s="2">
        <f>IF(AND(ISNUMBER(I54),I54&gt;0,ISNUMBER(J54)),J54/I54-1,"")</f>
        <v>0.07857142857142874</v>
      </c>
      <c r="L54" t="s">
        <v>38</v>
      </c>
      <c r="N54" s="1" t="s">
        <f>IF(AND(ISNUMBER(U54),U54&gt;0,ISNUMBER(J54)),ROUND(J54/U54,2),"")</f>
        <v>39</v>
      </c>
      <c r="Q54" t="s">
        <v>40</v>
      </c>
      <c r="R54" t="s">
        <v>39</v>
      </c>
      <c r="S54">
        <v>526947</v>
      </c>
      <c r="T54">
        <v>526947</v>
      </c>
      <c r="X54" t="s">
        <v>41</v>
      </c>
      <c r="Z54" s="1">
        <v>2.8</v>
      </c>
      <c r="AA54" s="1">
        <f>IF(AND(ISNUMBER(Z54),ISNUMBER(I54),I54&gt;0,ISNUMBER(J54)),ROUND(Z54*J54/I54,2),"")</f>
        <v>3.02</v>
      </c>
      <c r="AB54" t="s">
        <v>42</v>
      </c>
      <c r="AC54" t="s">
        <v>43</v>
      </c>
      <c r="AD54" t="s">
        <v>48</v>
      </c>
      <c r="AE54" t="s">
        <v>45</v>
      </c>
    </row>
    <row r="55">
      <c r="A55">
        <v>995521</v>
      </c>
      <c r="B55">
        <v>995521</v>
      </c>
      <c r="C55" t="s">
        <v>111</v>
      </c>
      <c r="D55" t="s">
        <v>91</v>
      </c>
      <c r="E55" t="s">
        <v>92</v>
      </c>
      <c r="F55" s="1">
        <v>8</v>
      </c>
      <c r="G55" s="2">
        <v>0.4</v>
      </c>
      <c r="H55" s="2">
        <v>0.512</v>
      </c>
      <c r="I55" s="1">
        <v>11.2</v>
      </c>
      <c r="J55" s="1">
        <f>IF(AND(ISNUMBER(F55),ISNUMBER(H55)),ROUND(F55*(1+H55),2),"")</f>
        <v>12.1</v>
      </c>
      <c r="K55" s="2">
        <f>IF(AND(ISNUMBER(I55),I55&gt;0,ISNUMBER(J55)),J55/I55-1,"")</f>
        <v>0.0803571428571428</v>
      </c>
      <c r="L55" t="s">
        <v>38</v>
      </c>
      <c r="M55" s="1">
        <v>11.2</v>
      </c>
      <c r="N55" s="1">
        <f>IF(AND(ISNUMBER(U55),U55&gt;0,ISNUMBER(J55)),ROUND(J55/U55,2),"")</f>
        <v>12.1</v>
      </c>
      <c r="Q55" t="s">
        <v>40</v>
      </c>
      <c r="R55" t="s">
        <v>39</v>
      </c>
      <c r="S55">
        <v>769835</v>
      </c>
      <c r="T55">
        <v>769835</v>
      </c>
      <c r="U55" s="3">
        <v>1</v>
      </c>
      <c r="X55" t="s">
        <v>41</v>
      </c>
      <c r="Z55" s="1">
        <v>11.2</v>
      </c>
      <c r="AA55" s="1">
        <f>IF(AND(ISNUMBER(Z55),ISNUMBER(I55),I55&gt;0,ISNUMBER(J55)),ROUND(Z55*J55/I55,2),"")</f>
        <v>12.1</v>
      </c>
      <c r="AB55" t="s">
        <v>42</v>
      </c>
      <c r="AC55" t="s">
        <v>43</v>
      </c>
      <c r="AD55" t="s">
        <v>48</v>
      </c>
      <c r="AE55" t="s">
        <v>45</v>
      </c>
    </row>
    <row r="56">
      <c r="A56">
        <v>812618</v>
      </c>
      <c r="B56">
        <v>812618</v>
      </c>
      <c r="C56" t="s">
        <v>112</v>
      </c>
      <c r="D56" t="s">
        <v>91</v>
      </c>
      <c r="E56" t="s">
        <v>113</v>
      </c>
      <c r="F56" s="1">
        <v>1.6</v>
      </c>
      <c r="G56" s="2">
        <v>0.4</v>
      </c>
      <c r="H56" s="2">
        <v>0.512</v>
      </c>
      <c r="I56" s="1">
        <v>2.24</v>
      </c>
      <c r="J56" s="1">
        <f>IF(AND(ISNUMBER(F56),ISNUMBER(H56)),ROUND(F56*(1+H56),2),"")</f>
        <v>2.42</v>
      </c>
      <c r="K56" s="2">
        <f>IF(AND(ISNUMBER(I56),I56&gt;0,ISNUMBER(J56)),J56/I56-1,"")</f>
        <v>0.0803571428571428</v>
      </c>
      <c r="L56" t="s">
        <v>38</v>
      </c>
      <c r="M56" s="1">
        <v>2.24</v>
      </c>
      <c r="N56" s="1">
        <f>IF(AND(ISNUMBER(U56),U56&gt;0,ISNUMBER(J56)),ROUND(J56/U56,2),"")</f>
        <v>2.42</v>
      </c>
      <c r="Q56" t="s">
        <v>40</v>
      </c>
      <c r="R56" t="s">
        <v>39</v>
      </c>
      <c r="S56">
        <v>534486</v>
      </c>
      <c r="T56">
        <v>534486</v>
      </c>
      <c r="U56" s="3">
        <v>1</v>
      </c>
      <c r="X56" t="s">
        <v>41</v>
      </c>
      <c r="Z56" s="1">
        <v>2.24</v>
      </c>
      <c r="AA56" s="1">
        <f>IF(AND(ISNUMBER(Z56),ISNUMBER(I56),I56&gt;0,ISNUMBER(J56)),ROUND(Z56*J56/I56,2),"")</f>
        <v>2.42</v>
      </c>
      <c r="AB56" t="s">
        <v>42</v>
      </c>
      <c r="AC56" t="s">
        <v>43</v>
      </c>
      <c r="AD56" t="s">
        <v>48</v>
      </c>
      <c r="AE56" t="s">
        <v>45</v>
      </c>
    </row>
    <row r="57">
      <c r="A57">
        <v>897017</v>
      </c>
      <c r="B57">
        <v>897017</v>
      </c>
      <c r="C57" t="s">
        <v>114</v>
      </c>
      <c r="D57" t="s">
        <v>91</v>
      </c>
      <c r="E57" t="s">
        <v>113</v>
      </c>
      <c r="F57" s="1">
        <v>1.45</v>
      </c>
      <c r="G57" s="2">
        <v>0.4</v>
      </c>
      <c r="H57" s="2">
        <v>0.512</v>
      </c>
      <c r="I57" s="1">
        <v>2.03</v>
      </c>
      <c r="J57" s="1">
        <f>IF(AND(ISNUMBER(F57),ISNUMBER(H57)),ROUND(F57*(1+H57),2),"")</f>
        <v>2.19</v>
      </c>
      <c r="K57" s="2">
        <f>IF(AND(ISNUMBER(I57),I57&gt;0,ISNUMBER(J57)),J57/I57-1,"")</f>
        <v>0.07881773399014791</v>
      </c>
      <c r="L57" t="s">
        <v>38</v>
      </c>
      <c r="M57" s="1">
        <v>2.03</v>
      </c>
      <c r="N57" s="1">
        <f>IF(AND(ISNUMBER(U57),U57&gt;0,ISNUMBER(J57)),ROUND(J57/U57,2),"")</f>
        <v>2.19</v>
      </c>
      <c r="Q57" t="s">
        <v>40</v>
      </c>
      <c r="R57" t="s">
        <v>39</v>
      </c>
      <c r="S57">
        <v>638087</v>
      </c>
      <c r="T57">
        <v>638087</v>
      </c>
      <c r="U57" s="3">
        <v>1</v>
      </c>
      <c r="X57" t="s">
        <v>41</v>
      </c>
      <c r="Z57" s="1">
        <v>2.03</v>
      </c>
      <c r="AA57" s="1">
        <f>IF(AND(ISNUMBER(Z57),ISNUMBER(I57),I57&gt;0,ISNUMBER(J57)),ROUND(Z57*J57/I57,2),"")</f>
        <v>2.19</v>
      </c>
      <c r="AB57" t="s">
        <v>42</v>
      </c>
      <c r="AC57" t="s">
        <v>43</v>
      </c>
      <c r="AD57" t="s">
        <v>48</v>
      </c>
      <c r="AE57" t="s">
        <v>45</v>
      </c>
    </row>
    <row r="58">
      <c r="A58">
        <v>805907</v>
      </c>
      <c r="B58">
        <v>805907</v>
      </c>
      <c r="C58" t="s">
        <v>115</v>
      </c>
      <c r="D58" t="s">
        <v>91</v>
      </c>
      <c r="E58" t="s">
        <v>100</v>
      </c>
      <c r="F58" s="1">
        <v>5</v>
      </c>
      <c r="G58" s="2">
        <v>0.55</v>
      </c>
      <c r="H58" s="2">
        <v>0.674</v>
      </c>
      <c r="I58" s="1">
        <v>7.75</v>
      </c>
      <c r="J58" s="1">
        <f>IF(AND(ISNUMBER(F58),ISNUMBER(H58)),ROUND(F58*(1+H58),2),"")</f>
        <v>8.37</v>
      </c>
      <c r="K58" s="2">
        <f>IF(AND(ISNUMBER(I58),I58&gt;0,ISNUMBER(J58)),J58/I58-1,"")</f>
        <v>0.07999999999999985</v>
      </c>
      <c r="L58" t="s">
        <v>38</v>
      </c>
      <c r="M58" s="1">
        <v>7.75</v>
      </c>
      <c r="N58" s="1">
        <f>IF(AND(ISNUMBER(U58),U58&gt;0,ISNUMBER(J58)),ROUND(J58/U58,2),"")</f>
        <v>8.37</v>
      </c>
      <c r="Q58" t="s">
        <v>40</v>
      </c>
      <c r="R58" t="s">
        <v>39</v>
      </c>
      <c r="S58">
        <v>526965</v>
      </c>
      <c r="T58">
        <v>526965</v>
      </c>
      <c r="U58" s="3">
        <v>1</v>
      </c>
      <c r="X58" t="s">
        <v>41</v>
      </c>
      <c r="Z58" s="1">
        <v>7.75</v>
      </c>
      <c r="AA58" s="1">
        <f>IF(AND(ISNUMBER(Z58),ISNUMBER(I58),I58&gt;0,ISNUMBER(J58)),ROUND(Z58*J58/I58,2),"")</f>
        <v>8.37</v>
      </c>
      <c r="AB58" t="s">
        <v>42</v>
      </c>
      <c r="AC58" t="s">
        <v>116</v>
      </c>
      <c r="AD58" t="s">
        <v>44</v>
      </c>
      <c r="AE58" t="s">
        <v>45</v>
      </c>
    </row>
    <row r="59">
      <c r="A59">
        <v>805909</v>
      </c>
      <c r="B59">
        <v>805909</v>
      </c>
      <c r="C59" t="s">
        <v>117</v>
      </c>
      <c r="D59" t="s">
        <v>91</v>
      </c>
      <c r="E59" t="s">
        <v>94</v>
      </c>
      <c r="F59" s="1">
        <v>2.5</v>
      </c>
      <c r="G59" s="2">
        <v>0.4</v>
      </c>
      <c r="H59" s="2">
        <v>0.512</v>
      </c>
      <c r="I59" s="1">
        <v>3.5</v>
      </c>
      <c r="J59" s="1">
        <f>IF(AND(ISNUMBER(F59),ISNUMBER(H59)),ROUND(F59*(1+H59),2),"")</f>
        <v>3.78</v>
      </c>
      <c r="K59" s="2">
        <f>IF(AND(ISNUMBER(I59),I59&gt;0,ISNUMBER(J59)),J59/I59-1,"")</f>
        <v>0.07999999999999985</v>
      </c>
      <c r="L59" t="s">
        <v>38</v>
      </c>
      <c r="N59" s="1" t="s">
        <f>IF(AND(ISNUMBER(U59),U59&gt;0,ISNUMBER(J59)),ROUND(J59/U59,2),"")</f>
        <v>39</v>
      </c>
      <c r="Q59" t="s">
        <v>40</v>
      </c>
      <c r="R59" t="s">
        <v>39</v>
      </c>
      <c r="S59">
        <v>526967</v>
      </c>
      <c r="T59">
        <v>526967</v>
      </c>
      <c r="X59" t="s">
        <v>41</v>
      </c>
      <c r="Z59" s="1">
        <v>3.5</v>
      </c>
      <c r="AA59" s="1">
        <f>IF(AND(ISNUMBER(Z59),ISNUMBER(I59),I59&gt;0,ISNUMBER(J59)),ROUND(Z59*J59/I59,2),"")</f>
        <v>3.78</v>
      </c>
      <c r="AB59" t="s">
        <v>42</v>
      </c>
      <c r="AC59" t="s">
        <v>43</v>
      </c>
      <c r="AD59" t="s">
        <v>48</v>
      </c>
      <c r="AE59" t="s">
        <v>45</v>
      </c>
    </row>
    <row r="60">
      <c r="A60">
        <v>805913</v>
      </c>
      <c r="B60">
        <v>805913</v>
      </c>
      <c r="C60" t="s">
        <v>118</v>
      </c>
      <c r="D60" t="s">
        <v>91</v>
      </c>
      <c r="E60" t="s">
        <v>100</v>
      </c>
      <c r="F60" s="1">
        <v>2.5</v>
      </c>
      <c r="G60" s="2">
        <v>0.4</v>
      </c>
      <c r="H60" s="2">
        <v>0.512</v>
      </c>
      <c r="I60" s="1">
        <v>3.5</v>
      </c>
      <c r="J60" s="1">
        <f>IF(AND(ISNUMBER(F60),ISNUMBER(H60)),ROUND(F60*(1+H60),2),"")</f>
        <v>3.78</v>
      </c>
      <c r="K60" s="2">
        <f>IF(AND(ISNUMBER(I60),I60&gt;0,ISNUMBER(J60)),J60/I60-1,"")</f>
        <v>0.07999999999999985</v>
      </c>
      <c r="L60" t="s">
        <v>38</v>
      </c>
      <c r="M60" s="1">
        <v>3.5</v>
      </c>
      <c r="N60" s="1">
        <f>IF(AND(ISNUMBER(U60),U60&gt;0,ISNUMBER(J60)),ROUND(J60/U60,2),"")</f>
        <v>3.78</v>
      </c>
      <c r="Q60" t="s">
        <v>40</v>
      </c>
      <c r="R60" t="s">
        <v>39</v>
      </c>
      <c r="S60">
        <v>526971</v>
      </c>
      <c r="T60">
        <v>526971</v>
      </c>
      <c r="U60" s="3">
        <v>1</v>
      </c>
      <c r="X60" t="s">
        <v>41</v>
      </c>
      <c r="Z60" s="1">
        <v>3.5</v>
      </c>
      <c r="AA60" s="1">
        <f>IF(AND(ISNUMBER(Z60),ISNUMBER(I60),I60&gt;0,ISNUMBER(J60)),ROUND(Z60*J60/I60,2),"")</f>
        <v>3.78</v>
      </c>
      <c r="AB60" t="s">
        <v>42</v>
      </c>
      <c r="AC60" t="s">
        <v>43</v>
      </c>
      <c r="AD60" t="s">
        <v>44</v>
      </c>
      <c r="AE60" t="s">
        <v>45</v>
      </c>
    </row>
    <row r="61">
      <c r="A61">
        <v>882263</v>
      </c>
      <c r="B61">
        <v>882263</v>
      </c>
      <c r="C61" t="s">
        <v>119</v>
      </c>
      <c r="D61" t="s">
        <v>91</v>
      </c>
      <c r="E61" t="s">
        <v>98</v>
      </c>
      <c r="F61" s="1">
        <v>2.35</v>
      </c>
      <c r="G61" s="2">
        <v>0.4</v>
      </c>
      <c r="H61" s="2">
        <v>0.512</v>
      </c>
      <c r="I61" s="1">
        <v>3.29</v>
      </c>
      <c r="J61" s="1">
        <f>IF(AND(ISNUMBER(F61),ISNUMBER(H61)),ROUND(F61*(1+H61),2),"")</f>
        <v>3.55</v>
      </c>
      <c r="K61" s="2">
        <f>IF(AND(ISNUMBER(I61),I61&gt;0,ISNUMBER(J61)),J61/I61-1,"")</f>
        <v>0.07902735562310026</v>
      </c>
      <c r="L61" t="s">
        <v>38</v>
      </c>
      <c r="N61" s="1" t="s">
        <f>IF(AND(ISNUMBER(U61),U61&gt;0,ISNUMBER(J61)),ROUND(J61/U61,2),"")</f>
        <v>39</v>
      </c>
      <c r="Q61" t="s">
        <v>40</v>
      </c>
      <c r="R61" t="s">
        <v>39</v>
      </c>
      <c r="S61">
        <v>618950</v>
      </c>
      <c r="T61">
        <v>618950</v>
      </c>
      <c r="X61" t="s">
        <v>41</v>
      </c>
      <c r="Z61" s="1">
        <v>3.29</v>
      </c>
      <c r="AA61" s="1">
        <f>IF(AND(ISNUMBER(Z61),ISNUMBER(I61),I61&gt;0,ISNUMBER(J61)),ROUND(Z61*J61/I61,2),"")</f>
        <v>3.55</v>
      </c>
      <c r="AB61" t="s">
        <v>42</v>
      </c>
      <c r="AC61" t="s">
        <v>43</v>
      </c>
      <c r="AD61" t="s">
        <v>48</v>
      </c>
      <c r="AE61" t="s">
        <v>45</v>
      </c>
    </row>
    <row r="62">
      <c r="A62">
        <v>913601</v>
      </c>
      <c r="B62">
        <v>913601</v>
      </c>
      <c r="C62" t="s">
        <v>120</v>
      </c>
      <c r="D62" t="s">
        <v>91</v>
      </c>
      <c r="E62" t="s">
        <v>63</v>
      </c>
      <c r="F62" s="1">
        <v>4</v>
      </c>
      <c r="G62" s="2">
        <v>0.4</v>
      </c>
      <c r="H62" s="2">
        <v>0.512</v>
      </c>
      <c r="I62" s="1">
        <v>5.6</v>
      </c>
      <c r="J62" s="1">
        <f>IF(AND(ISNUMBER(F62),ISNUMBER(H62)),ROUND(F62*(1+H62),2),"")</f>
        <v>6.05</v>
      </c>
      <c r="K62" s="2">
        <f>IF(AND(ISNUMBER(I62),I62&gt;0,ISNUMBER(J62)),J62/I62-1,"")</f>
        <v>0.0803571428571428</v>
      </c>
      <c r="L62" t="s">
        <v>38</v>
      </c>
      <c r="N62" s="1" t="s">
        <f>IF(AND(ISNUMBER(U62),U62&gt;0,ISNUMBER(J62)),ROUND(J62/U62,2),"")</f>
        <v>39</v>
      </c>
      <c r="Q62" t="s">
        <v>40</v>
      </c>
      <c r="R62" t="s">
        <v>39</v>
      </c>
      <c r="S62">
        <v>659131</v>
      </c>
      <c r="T62">
        <v>659131</v>
      </c>
      <c r="X62" t="s">
        <v>41</v>
      </c>
      <c r="Z62" s="1">
        <v>5.6</v>
      </c>
      <c r="AA62" s="1">
        <f>IF(AND(ISNUMBER(Z62),ISNUMBER(I62),I62&gt;0,ISNUMBER(J62)),ROUND(Z62*J62/I62,2),"")</f>
        <v>6.05</v>
      </c>
      <c r="AB62" t="s">
        <v>42</v>
      </c>
      <c r="AC62" t="s">
        <v>43</v>
      </c>
      <c r="AD62" t="s">
        <v>48</v>
      </c>
      <c r="AE62" t="s">
        <v>45</v>
      </c>
    </row>
    <row r="63">
      <c r="A63">
        <v>805925</v>
      </c>
      <c r="B63">
        <v>805925</v>
      </c>
      <c r="C63" t="s">
        <v>121</v>
      </c>
      <c r="D63" t="s">
        <v>91</v>
      </c>
      <c r="E63" t="s">
        <v>96</v>
      </c>
      <c r="F63" s="1">
        <v>2</v>
      </c>
      <c r="G63" s="2">
        <v>0.4</v>
      </c>
      <c r="H63" s="2">
        <v>0.512</v>
      </c>
      <c r="I63" s="1">
        <v>2.8</v>
      </c>
      <c r="J63" s="1">
        <f>IF(AND(ISNUMBER(F63),ISNUMBER(H63)),ROUND(F63*(1+H63),2),"")</f>
        <v>3.02</v>
      </c>
      <c r="K63" s="2">
        <f>IF(AND(ISNUMBER(I63),I63&gt;0,ISNUMBER(J63)),J63/I63-1,"")</f>
        <v>0.07857142857142874</v>
      </c>
      <c r="L63" t="s">
        <v>38</v>
      </c>
      <c r="N63" s="1" t="s">
        <f>IF(AND(ISNUMBER(U63),U63&gt;0,ISNUMBER(J63)),ROUND(J63/U63,2),"")</f>
        <v>39</v>
      </c>
      <c r="Q63" t="s">
        <v>40</v>
      </c>
      <c r="R63" t="s">
        <v>39</v>
      </c>
      <c r="S63">
        <v>526985</v>
      </c>
      <c r="T63">
        <v>526985</v>
      </c>
      <c r="X63" t="s">
        <v>41</v>
      </c>
      <c r="Z63" s="1">
        <v>2.8</v>
      </c>
      <c r="AA63" s="1">
        <f>IF(AND(ISNUMBER(Z63),ISNUMBER(I63),I63&gt;0,ISNUMBER(J63)),ROUND(Z63*J63/I63,2),"")</f>
        <v>3.02</v>
      </c>
      <c r="AB63" t="s">
        <v>42</v>
      </c>
      <c r="AC63" t="s">
        <v>43</v>
      </c>
      <c r="AD63" t="s">
        <v>48</v>
      </c>
      <c r="AE63" t="s">
        <v>45</v>
      </c>
    </row>
    <row r="64">
      <c r="A64">
        <v>805979</v>
      </c>
      <c r="B64">
        <v>805979</v>
      </c>
      <c r="C64" t="s">
        <v>122</v>
      </c>
      <c r="D64" t="s">
        <v>91</v>
      </c>
      <c r="E64" t="s">
        <v>100</v>
      </c>
      <c r="F64" s="1">
        <v>2</v>
      </c>
      <c r="G64" s="2">
        <v>0.4</v>
      </c>
      <c r="H64" s="2">
        <v>0.512</v>
      </c>
      <c r="I64" s="1">
        <v>2.8</v>
      </c>
      <c r="J64" s="1">
        <f>IF(AND(ISNUMBER(F64),ISNUMBER(H64)),ROUND(F64*(1+H64),2),"")</f>
        <v>3.02</v>
      </c>
      <c r="K64" s="2">
        <f>IF(AND(ISNUMBER(I64),I64&gt;0,ISNUMBER(J64)),J64/I64-1,"")</f>
        <v>0.07857142857142874</v>
      </c>
      <c r="L64" t="s">
        <v>38</v>
      </c>
      <c r="M64" s="1">
        <v>2.8</v>
      </c>
      <c r="N64" s="1">
        <f>IF(AND(ISNUMBER(U64),U64&gt;0,ISNUMBER(J64)),ROUND(J64/U64,2),"")</f>
        <v>3.02</v>
      </c>
      <c r="Q64" t="s">
        <v>40</v>
      </c>
      <c r="R64" t="s">
        <v>39</v>
      </c>
      <c r="S64">
        <v>527039</v>
      </c>
      <c r="T64">
        <v>527039</v>
      </c>
      <c r="U64" s="3">
        <v>1</v>
      </c>
      <c r="X64" t="s">
        <v>41</v>
      </c>
      <c r="Z64" s="1">
        <v>2.8</v>
      </c>
      <c r="AA64" s="1">
        <f>IF(AND(ISNUMBER(Z64),ISNUMBER(I64),I64&gt;0,ISNUMBER(J64)),ROUND(Z64*J64/I64,2),"")</f>
        <v>3.02</v>
      </c>
      <c r="AB64" t="s">
        <v>42</v>
      </c>
      <c r="AC64" t="s">
        <v>43</v>
      </c>
      <c r="AD64" t="s">
        <v>48</v>
      </c>
      <c r="AE64" t="s">
        <v>45</v>
      </c>
    </row>
    <row r="65">
      <c r="A65">
        <v>805866</v>
      </c>
      <c r="B65">
        <v>805866</v>
      </c>
      <c r="C65" t="s">
        <v>123</v>
      </c>
      <c r="D65" t="s">
        <v>91</v>
      </c>
      <c r="E65" t="s">
        <v>96</v>
      </c>
      <c r="F65" s="1">
        <v>2</v>
      </c>
      <c r="G65" s="2">
        <v>0.4</v>
      </c>
      <c r="H65" s="2">
        <v>0.512</v>
      </c>
      <c r="I65" s="1">
        <v>2.8</v>
      </c>
      <c r="J65" s="1">
        <f>IF(AND(ISNUMBER(F65),ISNUMBER(H65)),ROUND(F65*(1+H65),2),"")</f>
        <v>3.02</v>
      </c>
      <c r="K65" s="2">
        <f>IF(AND(ISNUMBER(I65),I65&gt;0,ISNUMBER(J65)),J65/I65-1,"")</f>
        <v>0.07857142857142874</v>
      </c>
      <c r="L65" t="s">
        <v>38</v>
      </c>
      <c r="N65" s="1" t="s">
        <f>IF(AND(ISNUMBER(U65),U65&gt;0,ISNUMBER(J65)),ROUND(J65/U65,2),"")</f>
        <v>39</v>
      </c>
      <c r="Q65" t="s">
        <v>40</v>
      </c>
      <c r="R65" t="s">
        <v>39</v>
      </c>
      <c r="S65">
        <v>526924</v>
      </c>
      <c r="T65">
        <v>526924</v>
      </c>
      <c r="X65" t="s">
        <v>41</v>
      </c>
      <c r="Z65" s="1">
        <v>2.8</v>
      </c>
      <c r="AA65" s="1">
        <f>IF(AND(ISNUMBER(Z65),ISNUMBER(I65),I65&gt;0,ISNUMBER(J65)),ROUND(Z65*J65/I65,2),"")</f>
        <v>3.02</v>
      </c>
      <c r="AB65" t="s">
        <v>42</v>
      </c>
      <c r="AC65" t="s">
        <v>43</v>
      </c>
      <c r="AD65" t="s">
        <v>48</v>
      </c>
      <c r="AE65" t="s">
        <v>45</v>
      </c>
    </row>
    <row r="66">
      <c r="A66">
        <v>825355</v>
      </c>
      <c r="B66">
        <v>825355</v>
      </c>
      <c r="C66" t="s">
        <v>124</v>
      </c>
      <c r="D66" t="s">
        <v>91</v>
      </c>
      <c r="E66" t="s">
        <v>63</v>
      </c>
      <c r="F66" s="1">
        <v>3</v>
      </c>
      <c r="G66" s="2">
        <v>0.4</v>
      </c>
      <c r="H66" s="2">
        <v>0.512</v>
      </c>
      <c r="I66" s="1">
        <v>4.2</v>
      </c>
      <c r="J66" s="1">
        <f>IF(AND(ISNUMBER(F66),ISNUMBER(H66)),ROUND(F66*(1+H66),2),"")</f>
        <v>4.54</v>
      </c>
      <c r="K66" s="2">
        <f>IF(AND(ISNUMBER(I66),I66&gt;0,ISNUMBER(J66)),J66/I66-1,"")</f>
        <v>0.08095238095238089</v>
      </c>
      <c r="L66" t="s">
        <v>38</v>
      </c>
      <c r="N66" s="1" t="s">
        <f>IF(AND(ISNUMBER(U66),U66&gt;0,ISNUMBER(J66)),ROUND(J66/U66,2),"")</f>
        <v>39</v>
      </c>
      <c r="Q66" t="s">
        <v>40</v>
      </c>
      <c r="R66" t="s">
        <v>39</v>
      </c>
      <c r="S66">
        <v>549276</v>
      </c>
      <c r="T66">
        <v>549276</v>
      </c>
      <c r="X66" t="s">
        <v>41</v>
      </c>
      <c r="Z66" s="1">
        <v>4.2</v>
      </c>
      <c r="AA66" s="1">
        <f>IF(AND(ISNUMBER(Z66),ISNUMBER(I66),I66&gt;0,ISNUMBER(J66)),ROUND(Z66*J66/I66,2),"")</f>
        <v>4.54</v>
      </c>
      <c r="AB66" t="s">
        <v>42</v>
      </c>
      <c r="AC66" t="s">
        <v>43</v>
      </c>
      <c r="AD66" t="s">
        <v>48</v>
      </c>
      <c r="AE66" t="s">
        <v>45</v>
      </c>
    </row>
    <row r="67">
      <c r="A67">
        <v>805870</v>
      </c>
      <c r="B67">
        <v>805870</v>
      </c>
      <c r="C67" t="s">
        <v>125</v>
      </c>
      <c r="D67" t="s">
        <v>91</v>
      </c>
      <c r="E67" t="s">
        <v>96</v>
      </c>
      <c r="F67" s="1">
        <v>3.25</v>
      </c>
      <c r="G67" s="2">
        <v>0.4</v>
      </c>
      <c r="H67" s="2">
        <v>0.512</v>
      </c>
      <c r="I67" s="1">
        <v>4.55</v>
      </c>
      <c r="J67" s="1">
        <f>IF(AND(ISNUMBER(F67),ISNUMBER(H67)),ROUND(F67*(1+H67),2),"")</f>
        <v>4.91</v>
      </c>
      <c r="K67" s="2">
        <f>IF(AND(ISNUMBER(I67),I67&gt;0,ISNUMBER(J67)),J67/I67-1,"")</f>
        <v>0.07912087912087928</v>
      </c>
      <c r="L67" t="s">
        <v>38</v>
      </c>
      <c r="N67" s="1" t="s">
        <f>IF(AND(ISNUMBER(U67),U67&gt;0,ISNUMBER(J67)),ROUND(J67/U67,2),"")</f>
        <v>39</v>
      </c>
      <c r="Q67" t="s">
        <v>40</v>
      </c>
      <c r="R67" t="s">
        <v>39</v>
      </c>
      <c r="S67">
        <v>526928</v>
      </c>
      <c r="T67">
        <v>526928</v>
      </c>
      <c r="X67" t="s">
        <v>41</v>
      </c>
      <c r="Z67" s="1">
        <v>4.55</v>
      </c>
      <c r="AA67" s="1">
        <f>IF(AND(ISNUMBER(Z67),ISNUMBER(I67),I67&gt;0,ISNUMBER(J67)),ROUND(Z67*J67/I67,2),"")</f>
        <v>4.91</v>
      </c>
      <c r="AB67" t="s">
        <v>42</v>
      </c>
      <c r="AC67" t="s">
        <v>43</v>
      </c>
      <c r="AD67" t="s">
        <v>48</v>
      </c>
      <c r="AE67" t="s">
        <v>45</v>
      </c>
    </row>
    <row r="68">
      <c r="A68">
        <v>906541</v>
      </c>
      <c r="B68">
        <v>906541</v>
      </c>
      <c r="C68" t="s">
        <v>126</v>
      </c>
      <c r="D68" t="s">
        <v>91</v>
      </c>
      <c r="E68" t="s">
        <v>92</v>
      </c>
      <c r="F68" s="1">
        <v>5</v>
      </c>
      <c r="G68" s="2">
        <v>0.4</v>
      </c>
      <c r="H68" s="2">
        <v>0.512</v>
      </c>
      <c r="I68" s="1">
        <v>7</v>
      </c>
      <c r="J68" s="1">
        <f>IF(AND(ISNUMBER(F68),ISNUMBER(H68)),ROUND(F68*(1+H68),2),"")</f>
        <v>7.56</v>
      </c>
      <c r="K68" s="2">
        <f>IF(AND(ISNUMBER(I68),I68&gt;0,ISNUMBER(J68)),J68/I68-1,"")</f>
        <v>0.07999999999999985</v>
      </c>
      <c r="L68" t="s">
        <v>38</v>
      </c>
      <c r="M68" s="1">
        <v>7</v>
      </c>
      <c r="N68" s="1">
        <f>IF(AND(ISNUMBER(U68),U68&gt;0,ISNUMBER(J68)),ROUND(J68/U68,2),"")</f>
        <v>7.56</v>
      </c>
      <c r="Q68" t="s">
        <v>40</v>
      </c>
      <c r="R68" t="s">
        <v>39</v>
      </c>
      <c r="S68">
        <v>650569</v>
      </c>
      <c r="T68">
        <v>650569</v>
      </c>
      <c r="U68" s="3">
        <v>1</v>
      </c>
      <c r="X68" t="s">
        <v>41</v>
      </c>
      <c r="Z68" s="1">
        <v>7</v>
      </c>
      <c r="AA68" s="1">
        <f>IF(AND(ISNUMBER(Z68),ISNUMBER(I68),I68&gt;0,ISNUMBER(J68)),ROUND(Z68*J68/I68,2),"")</f>
        <v>7.56</v>
      </c>
      <c r="AB68" t="s">
        <v>42</v>
      </c>
      <c r="AC68" t="s">
        <v>43</v>
      </c>
      <c r="AD68" t="s">
        <v>44</v>
      </c>
      <c r="AE68" t="s">
        <v>45</v>
      </c>
    </row>
    <row r="69">
      <c r="A69">
        <v>805957</v>
      </c>
      <c r="B69">
        <v>805957</v>
      </c>
      <c r="C69" t="s">
        <v>127</v>
      </c>
      <c r="D69" t="s">
        <v>91</v>
      </c>
      <c r="E69" t="s">
        <v>128</v>
      </c>
      <c r="F69" s="1">
        <v>1.9</v>
      </c>
      <c r="G69" s="2">
        <v>0.4</v>
      </c>
      <c r="H69" s="2">
        <v>0.512</v>
      </c>
      <c r="I69" s="1">
        <v>2.66</v>
      </c>
      <c r="J69" s="1">
        <f>IF(AND(ISNUMBER(F69),ISNUMBER(H69)),ROUND(F69*(1+H69),2),"")</f>
        <v>2.87</v>
      </c>
      <c r="K69" s="2">
        <f>IF(AND(ISNUMBER(I69),I69&gt;0,ISNUMBER(J69)),J69/I69-1,"")</f>
        <v>0.07894736842105265</v>
      </c>
      <c r="L69" t="s">
        <v>38</v>
      </c>
      <c r="N69" s="1" t="s">
        <f>IF(AND(ISNUMBER(U69),U69&gt;0,ISNUMBER(J69)),ROUND(J69/U69,2),"")</f>
        <v>39</v>
      </c>
      <c r="Q69" t="s">
        <v>40</v>
      </c>
      <c r="R69" t="s">
        <v>39</v>
      </c>
      <c r="S69">
        <v>527017</v>
      </c>
      <c r="T69">
        <v>527017</v>
      </c>
      <c r="X69" t="s">
        <v>41</v>
      </c>
      <c r="Z69" s="1">
        <v>2.66</v>
      </c>
      <c r="AA69" s="1">
        <f>IF(AND(ISNUMBER(Z69),ISNUMBER(I69),I69&gt;0,ISNUMBER(J69)),ROUND(Z69*J69/I69,2),"")</f>
        <v>2.87</v>
      </c>
      <c r="AB69" t="s">
        <v>42</v>
      </c>
      <c r="AC69" t="s">
        <v>43</v>
      </c>
      <c r="AD69" t="s">
        <v>48</v>
      </c>
      <c r="AE69" t="s">
        <v>45</v>
      </c>
    </row>
    <row r="70">
      <c r="A70">
        <v>1004983</v>
      </c>
      <c r="B70">
        <v>1004983</v>
      </c>
      <c r="C70" t="s">
        <v>129</v>
      </c>
      <c r="D70" t="s">
        <v>91</v>
      </c>
      <c r="E70" t="s">
        <v>100</v>
      </c>
      <c r="F70" s="1">
        <v>6</v>
      </c>
      <c r="G70" s="2">
        <v>0.4</v>
      </c>
      <c r="H70" s="2">
        <v>0.512</v>
      </c>
      <c r="I70" s="1">
        <v>8.4</v>
      </c>
      <c r="J70" s="1">
        <f>IF(AND(ISNUMBER(F70),ISNUMBER(H70)),ROUND(F70*(1+H70),2),"")</f>
        <v>9.07</v>
      </c>
      <c r="K70" s="2">
        <f>IF(AND(ISNUMBER(I70),I70&gt;0,ISNUMBER(J70)),J70/I70-1,"")</f>
        <v>0.0797619047619047</v>
      </c>
      <c r="L70" t="s">
        <v>38</v>
      </c>
      <c r="M70" s="1">
        <v>8.4</v>
      </c>
      <c r="N70" s="1">
        <f>IF(AND(ISNUMBER(U70),U70&gt;0,ISNUMBER(J70)),ROUND(J70/U70,2),"")</f>
        <v>9.07</v>
      </c>
      <c r="Q70" t="s">
        <v>40</v>
      </c>
      <c r="R70" t="s">
        <v>39</v>
      </c>
      <c r="S70">
        <v>785191</v>
      </c>
      <c r="T70">
        <v>785191</v>
      </c>
      <c r="U70" s="3">
        <v>1</v>
      </c>
      <c r="X70" t="s">
        <v>41</v>
      </c>
      <c r="Z70" s="1">
        <v>8.4</v>
      </c>
      <c r="AA70" s="1">
        <f>IF(AND(ISNUMBER(Z70),ISNUMBER(I70),I70&gt;0,ISNUMBER(J70)),ROUND(Z70*J70/I70,2),"")</f>
        <v>9.07</v>
      </c>
      <c r="AB70" t="s">
        <v>42</v>
      </c>
      <c r="AC70" t="s">
        <v>43</v>
      </c>
      <c r="AD70" t="s">
        <v>48</v>
      </c>
      <c r="AE70" t="s">
        <v>45</v>
      </c>
    </row>
    <row r="71">
      <c r="A71">
        <v>1006110</v>
      </c>
      <c r="B71">
        <v>1006110</v>
      </c>
      <c r="C71" t="s">
        <v>130</v>
      </c>
      <c r="D71" t="s">
        <v>91</v>
      </c>
      <c r="E71" t="s">
        <v>92</v>
      </c>
      <c r="F71" s="1">
        <v>6</v>
      </c>
      <c r="G71" s="2">
        <v>0.4</v>
      </c>
      <c r="H71" s="2">
        <v>0.512</v>
      </c>
      <c r="I71" s="1">
        <v>8.4</v>
      </c>
      <c r="J71" s="1">
        <f>IF(AND(ISNUMBER(F71),ISNUMBER(H71)),ROUND(F71*(1+H71),2),"")</f>
        <v>9.07</v>
      </c>
      <c r="K71" s="2">
        <f>IF(AND(ISNUMBER(I71),I71&gt;0,ISNUMBER(J71)),J71/I71-1,"")</f>
        <v>0.0797619047619047</v>
      </c>
      <c r="L71" t="s">
        <v>38</v>
      </c>
      <c r="M71" s="1">
        <v>8.4</v>
      </c>
      <c r="N71" s="1">
        <f>IF(AND(ISNUMBER(U71),U71&gt;0,ISNUMBER(J71)),ROUND(J71/U71,2),"")</f>
        <v>9.07</v>
      </c>
      <c r="Q71" t="s">
        <v>40</v>
      </c>
      <c r="R71" t="s">
        <v>39</v>
      </c>
      <c r="S71">
        <v>786673</v>
      </c>
      <c r="T71">
        <v>786673</v>
      </c>
      <c r="U71" s="3">
        <v>1</v>
      </c>
      <c r="X71" t="s">
        <v>41</v>
      </c>
      <c r="Z71" s="1">
        <v>8.4</v>
      </c>
      <c r="AA71" s="1">
        <f>IF(AND(ISNUMBER(Z71),ISNUMBER(I71),I71&gt;0,ISNUMBER(J71)),ROUND(Z71*J71/I71,2),"")</f>
        <v>9.07</v>
      </c>
      <c r="AB71" t="s">
        <v>42</v>
      </c>
      <c r="AC71" t="s">
        <v>43</v>
      </c>
      <c r="AD71" t="s">
        <v>48</v>
      </c>
      <c r="AE71" t="s">
        <v>45</v>
      </c>
    </row>
    <row r="72">
      <c r="A72">
        <v>1001422</v>
      </c>
      <c r="B72">
        <v>1001422</v>
      </c>
      <c r="C72" t="s">
        <v>131</v>
      </c>
      <c r="D72" t="s">
        <v>91</v>
      </c>
      <c r="E72" t="s">
        <v>63</v>
      </c>
      <c r="F72" s="1">
        <v>5.85</v>
      </c>
      <c r="G72" s="2">
        <v>0.4</v>
      </c>
      <c r="H72" s="2">
        <v>0.512</v>
      </c>
      <c r="I72" s="1">
        <v>8.19</v>
      </c>
      <c r="J72" s="1">
        <f>IF(AND(ISNUMBER(F72),ISNUMBER(H72)),ROUND(F72*(1+H72),2),"")</f>
        <v>8.85</v>
      </c>
      <c r="K72" s="2">
        <f>IF(AND(ISNUMBER(I72),I72&gt;0,ISNUMBER(J72)),J72/I72-1,"")</f>
        <v>0.08058608058608052</v>
      </c>
      <c r="L72" t="s">
        <v>38</v>
      </c>
      <c r="N72" s="1" t="s">
        <f>IF(AND(ISNUMBER(U72),U72&gt;0,ISNUMBER(J72)),ROUND(J72/U72,2),"")</f>
        <v>39</v>
      </c>
      <c r="Q72" t="s">
        <v>40</v>
      </c>
      <c r="R72" t="s">
        <v>39</v>
      </c>
      <c r="S72">
        <v>778769</v>
      </c>
      <c r="T72">
        <v>778769</v>
      </c>
      <c r="X72" t="s">
        <v>41</v>
      </c>
      <c r="Z72" s="1">
        <v>8.19</v>
      </c>
      <c r="AA72" s="1">
        <f>IF(AND(ISNUMBER(Z72),ISNUMBER(I72),I72&gt;0,ISNUMBER(J72)),ROUND(Z72*J72/I72,2),"")</f>
        <v>8.85</v>
      </c>
      <c r="AB72" t="s">
        <v>42</v>
      </c>
      <c r="AC72" t="s">
        <v>43</v>
      </c>
      <c r="AD72" t="s">
        <v>48</v>
      </c>
      <c r="AE72" t="s">
        <v>45</v>
      </c>
    </row>
    <row r="73">
      <c r="A73">
        <v>1125866</v>
      </c>
      <c r="B73">
        <v>1125866</v>
      </c>
      <c r="C73" t="s">
        <v>132</v>
      </c>
      <c r="D73" t="s">
        <v>91</v>
      </c>
      <c r="E73" t="s">
        <v>133</v>
      </c>
      <c r="F73" s="1">
        <v>2.75</v>
      </c>
      <c r="G73" s="2">
        <v>0.4</v>
      </c>
      <c r="H73" s="2">
        <v>0.512</v>
      </c>
      <c r="I73" s="1">
        <v>3.85</v>
      </c>
      <c r="J73" s="1">
        <f>IF(AND(ISNUMBER(F73),ISNUMBER(H73)),ROUND(F73*(1+H73),2),"")</f>
        <v>4.16</v>
      </c>
      <c r="K73" s="2">
        <f>IF(AND(ISNUMBER(I73),I73&gt;0,ISNUMBER(J73)),J73/I73-1,"")</f>
        <v>0.08051948051948044</v>
      </c>
      <c r="L73" t="s">
        <v>38</v>
      </c>
      <c r="N73" s="1" t="s">
        <f>IF(AND(ISNUMBER(U73),U73&gt;0,ISNUMBER(J73)),ROUND(J73/U73,2),"")</f>
        <v>39</v>
      </c>
      <c r="Q73" t="s">
        <v>40</v>
      </c>
      <c r="R73" t="s">
        <v>39</v>
      </c>
      <c r="S73">
        <v>958135</v>
      </c>
      <c r="T73">
        <v>958135</v>
      </c>
      <c r="X73" t="s">
        <v>41</v>
      </c>
      <c r="Z73" s="1">
        <v>3.85</v>
      </c>
      <c r="AA73" s="1">
        <f>IF(AND(ISNUMBER(Z73),ISNUMBER(I73),I73&gt;0,ISNUMBER(J73)),ROUND(Z73*J73/I73,2),"")</f>
        <v>4.16</v>
      </c>
      <c r="AB73" t="s">
        <v>42</v>
      </c>
      <c r="AC73" t="s">
        <v>134</v>
      </c>
      <c r="AD73" t="s">
        <v>48</v>
      </c>
      <c r="AE73" t="s">
        <v>45</v>
      </c>
    </row>
    <row r="74">
      <c r="A74">
        <v>805887</v>
      </c>
      <c r="B74">
        <v>805887</v>
      </c>
      <c r="C74" t="s">
        <v>135</v>
      </c>
      <c r="D74" t="s">
        <v>91</v>
      </c>
      <c r="E74" t="s">
        <v>136</v>
      </c>
      <c r="F74" s="1">
        <v>3</v>
      </c>
      <c r="G74" s="2">
        <v>0.4</v>
      </c>
      <c r="H74" s="2">
        <v>0.512</v>
      </c>
      <c r="I74" s="1">
        <v>4.2</v>
      </c>
      <c r="J74" s="1">
        <f>IF(AND(ISNUMBER(F74),ISNUMBER(H74)),ROUND(F74*(1+H74),2),"")</f>
        <v>4.54</v>
      </c>
      <c r="K74" s="2">
        <f>IF(AND(ISNUMBER(I74),I74&gt;0,ISNUMBER(J74)),J74/I74-1,"")</f>
        <v>0.08095238095238089</v>
      </c>
      <c r="L74" t="s">
        <v>38</v>
      </c>
      <c r="N74" s="1" t="s">
        <f>IF(AND(ISNUMBER(U74),U74&gt;0,ISNUMBER(J74)),ROUND(J74/U74,2),"")</f>
        <v>39</v>
      </c>
      <c r="Q74" t="s">
        <v>40</v>
      </c>
      <c r="R74" t="s">
        <v>39</v>
      </c>
      <c r="S74">
        <v>526945</v>
      </c>
      <c r="T74">
        <v>526945</v>
      </c>
      <c r="X74" t="s">
        <v>41</v>
      </c>
      <c r="Z74" s="1">
        <v>4.2</v>
      </c>
      <c r="AA74" s="1">
        <f>IF(AND(ISNUMBER(Z74),ISNUMBER(I74),I74&gt;0,ISNUMBER(J74)),ROUND(Z74*J74/I74,2),"")</f>
        <v>4.54</v>
      </c>
      <c r="AB74" t="s">
        <v>42</v>
      </c>
      <c r="AC74" t="s">
        <v>43</v>
      </c>
      <c r="AD74" t="s">
        <v>44</v>
      </c>
      <c r="AE74" t="s">
        <v>45</v>
      </c>
    </row>
    <row r="75">
      <c r="A75">
        <v>805978</v>
      </c>
      <c r="B75">
        <v>805978</v>
      </c>
      <c r="C75" t="s">
        <v>137</v>
      </c>
      <c r="D75" t="s">
        <v>91</v>
      </c>
      <c r="E75" t="s">
        <v>96</v>
      </c>
      <c r="F75" s="1">
        <v>2</v>
      </c>
      <c r="G75" s="2">
        <v>0.4</v>
      </c>
      <c r="H75" s="2">
        <v>0.512</v>
      </c>
      <c r="I75" s="1">
        <v>2.8</v>
      </c>
      <c r="J75" s="1">
        <f>IF(AND(ISNUMBER(F75),ISNUMBER(H75)),ROUND(F75*(1+H75),2),"")</f>
        <v>3.02</v>
      </c>
      <c r="K75" s="2">
        <f>IF(AND(ISNUMBER(I75),I75&gt;0,ISNUMBER(J75)),J75/I75-1,"")</f>
        <v>0.07857142857142874</v>
      </c>
      <c r="L75" t="s">
        <v>38</v>
      </c>
      <c r="N75" s="1" t="s">
        <f>IF(AND(ISNUMBER(U75),U75&gt;0,ISNUMBER(J75)),ROUND(J75/U75,2),"")</f>
        <v>39</v>
      </c>
      <c r="Q75" t="s">
        <v>40</v>
      </c>
      <c r="R75" t="s">
        <v>39</v>
      </c>
      <c r="S75">
        <v>527038</v>
      </c>
      <c r="T75">
        <v>527038</v>
      </c>
      <c r="X75" t="s">
        <v>41</v>
      </c>
      <c r="Z75" s="1">
        <v>2.8</v>
      </c>
      <c r="AA75" s="1">
        <f>IF(AND(ISNUMBER(Z75),ISNUMBER(I75),I75&gt;0,ISNUMBER(J75)),ROUND(Z75*J75/I75,2),"")</f>
        <v>3.02</v>
      </c>
      <c r="AB75" t="s">
        <v>42</v>
      </c>
      <c r="AC75" t="s">
        <v>43</v>
      </c>
      <c r="AD75" t="s">
        <v>44</v>
      </c>
      <c r="AE75" t="s">
        <v>45</v>
      </c>
    </row>
    <row r="76">
      <c r="A76">
        <v>805892</v>
      </c>
      <c r="B76">
        <v>805892</v>
      </c>
      <c r="C76" t="s">
        <v>138</v>
      </c>
      <c r="D76" t="s">
        <v>91</v>
      </c>
      <c r="E76" t="s">
        <v>100</v>
      </c>
      <c r="F76" s="1">
        <v>2.5</v>
      </c>
      <c r="G76" s="2">
        <v>0.4</v>
      </c>
      <c r="H76" s="2">
        <v>0.512</v>
      </c>
      <c r="I76" s="1">
        <v>3.5</v>
      </c>
      <c r="J76" s="1">
        <f>IF(AND(ISNUMBER(F76),ISNUMBER(H76)),ROUND(F76*(1+H76),2),"")</f>
        <v>3.78</v>
      </c>
      <c r="K76" s="2">
        <f>IF(AND(ISNUMBER(I76),I76&gt;0,ISNUMBER(J76)),J76/I76-1,"")</f>
        <v>0.07999999999999985</v>
      </c>
      <c r="L76" t="s">
        <v>38</v>
      </c>
      <c r="M76" s="1">
        <v>3.5</v>
      </c>
      <c r="N76" s="1">
        <f>IF(AND(ISNUMBER(U76),U76&gt;0,ISNUMBER(J76)),ROUND(J76/U76,2),"")</f>
        <v>3.78</v>
      </c>
      <c r="Q76" t="s">
        <v>40</v>
      </c>
      <c r="R76" t="s">
        <v>39</v>
      </c>
      <c r="S76">
        <v>526950</v>
      </c>
      <c r="T76">
        <v>526950</v>
      </c>
      <c r="U76" s="3">
        <v>1</v>
      </c>
      <c r="X76" t="s">
        <v>41</v>
      </c>
      <c r="Z76" s="1">
        <v>3.5</v>
      </c>
      <c r="AA76" s="1">
        <f>IF(AND(ISNUMBER(Z76),ISNUMBER(I76),I76&gt;0,ISNUMBER(J76)),ROUND(Z76*J76/I76,2),"")</f>
        <v>3.78</v>
      </c>
      <c r="AB76" t="s">
        <v>42</v>
      </c>
      <c r="AC76" t="s">
        <v>43</v>
      </c>
      <c r="AD76" t="s">
        <v>48</v>
      </c>
      <c r="AE76" t="s">
        <v>45</v>
      </c>
    </row>
    <row r="77">
      <c r="A77">
        <v>824215</v>
      </c>
      <c r="B77">
        <v>824215</v>
      </c>
      <c r="C77" t="s">
        <v>139</v>
      </c>
      <c r="D77" t="s">
        <v>91</v>
      </c>
      <c r="E77" t="s">
        <v>63</v>
      </c>
      <c r="F77" s="1">
        <v>2</v>
      </c>
      <c r="G77" s="2">
        <v>0.4</v>
      </c>
      <c r="H77" s="2">
        <v>0.512</v>
      </c>
      <c r="I77" s="1">
        <v>2.8</v>
      </c>
      <c r="J77" s="1">
        <f>IF(AND(ISNUMBER(F77),ISNUMBER(H77)),ROUND(F77*(1+H77),2),"")</f>
        <v>3.02</v>
      </c>
      <c r="K77" s="2">
        <f>IF(AND(ISNUMBER(I77),I77&gt;0,ISNUMBER(J77)),J77/I77-1,"")</f>
        <v>0.07857142857142874</v>
      </c>
      <c r="L77" t="s">
        <v>38</v>
      </c>
      <c r="N77" s="1" t="s">
        <f>IF(AND(ISNUMBER(U77),U77&gt;0,ISNUMBER(J77)),ROUND(J77/U77,2),"")</f>
        <v>39</v>
      </c>
      <c r="Q77" t="s">
        <v>40</v>
      </c>
      <c r="R77" t="s">
        <v>39</v>
      </c>
      <c r="S77">
        <v>547697</v>
      </c>
      <c r="T77">
        <v>547697</v>
      </c>
      <c r="X77" t="s">
        <v>41</v>
      </c>
      <c r="Z77" s="1">
        <v>2.8</v>
      </c>
      <c r="AA77" s="1">
        <f>IF(AND(ISNUMBER(Z77),ISNUMBER(I77),I77&gt;0,ISNUMBER(J77)),ROUND(Z77*J77/I77,2),"")</f>
        <v>3.02</v>
      </c>
      <c r="AB77" t="s">
        <v>42</v>
      </c>
      <c r="AC77" t="s">
        <v>43</v>
      </c>
      <c r="AD77" t="s">
        <v>48</v>
      </c>
      <c r="AE77" t="s">
        <v>45</v>
      </c>
    </row>
    <row r="78">
      <c r="A78">
        <v>883818</v>
      </c>
      <c r="B78">
        <v>883818</v>
      </c>
      <c r="C78" t="s">
        <v>140</v>
      </c>
      <c r="D78" t="s">
        <v>91</v>
      </c>
      <c r="E78" t="s">
        <v>133</v>
      </c>
      <c r="F78" s="1">
        <v>2.5</v>
      </c>
      <c r="G78" s="2">
        <v>0.4</v>
      </c>
      <c r="H78" s="2">
        <v>0.512</v>
      </c>
      <c r="I78" s="1">
        <v>3.5</v>
      </c>
      <c r="J78" s="1">
        <f>IF(AND(ISNUMBER(F78),ISNUMBER(H78)),ROUND(F78*(1+H78),2),"")</f>
        <v>3.78</v>
      </c>
      <c r="K78" s="2">
        <f>IF(AND(ISNUMBER(I78),I78&gt;0,ISNUMBER(J78)),J78/I78-1,"")</f>
        <v>0.07999999999999985</v>
      </c>
      <c r="L78" t="s">
        <v>38</v>
      </c>
      <c r="N78" s="1" t="s">
        <f>IF(AND(ISNUMBER(U78),U78&gt;0,ISNUMBER(J78)),ROUND(J78/U78,2),"")</f>
        <v>39</v>
      </c>
      <c r="Q78" t="s">
        <v>40</v>
      </c>
      <c r="R78" t="s">
        <v>39</v>
      </c>
      <c r="S78">
        <v>621070</v>
      </c>
      <c r="T78">
        <v>621070</v>
      </c>
      <c r="X78" t="s">
        <v>41</v>
      </c>
      <c r="Z78" s="1">
        <v>3.5</v>
      </c>
      <c r="AA78" s="1">
        <f>IF(AND(ISNUMBER(Z78),ISNUMBER(I78),I78&gt;0,ISNUMBER(J78)),ROUND(Z78*J78/I78,2),"")</f>
        <v>3.78</v>
      </c>
      <c r="AB78" t="s">
        <v>42</v>
      </c>
      <c r="AC78" t="s">
        <v>43</v>
      </c>
      <c r="AD78" t="s">
        <v>48</v>
      </c>
      <c r="AE78" t="s">
        <v>45</v>
      </c>
    </row>
    <row r="79">
      <c r="A79">
        <v>1021692</v>
      </c>
      <c r="B79">
        <v>1021692</v>
      </c>
      <c r="C79" t="s">
        <v>141</v>
      </c>
      <c r="D79" t="s">
        <v>91</v>
      </c>
      <c r="E79" t="s">
        <v>96</v>
      </c>
      <c r="F79" s="1">
        <v>2.5</v>
      </c>
      <c r="G79" s="2">
        <v>0.4</v>
      </c>
      <c r="H79" s="2">
        <v>0.512</v>
      </c>
      <c r="I79" s="1">
        <v>3.5</v>
      </c>
      <c r="J79" s="1">
        <f>IF(AND(ISNUMBER(F79),ISNUMBER(H79)),ROUND(F79*(1+H79),2),"")</f>
        <v>3.78</v>
      </c>
      <c r="K79" s="2">
        <f>IF(AND(ISNUMBER(I79),I79&gt;0,ISNUMBER(J79)),J79/I79-1,"")</f>
        <v>0.07999999999999985</v>
      </c>
      <c r="L79" t="s">
        <v>38</v>
      </c>
      <c r="N79" s="1" t="s">
        <f>IF(AND(ISNUMBER(U79),U79&gt;0,ISNUMBER(J79)),ROUND(J79/U79,2),"")</f>
        <v>39</v>
      </c>
      <c r="Q79" t="s">
        <v>40</v>
      </c>
      <c r="R79" t="s">
        <v>39</v>
      </c>
      <c r="S79">
        <v>808786</v>
      </c>
      <c r="T79">
        <v>808786</v>
      </c>
      <c r="X79" t="s">
        <v>41</v>
      </c>
      <c r="Z79" s="1">
        <v>3.5</v>
      </c>
      <c r="AA79" s="1">
        <f>IF(AND(ISNUMBER(Z79),ISNUMBER(I79),I79&gt;0,ISNUMBER(J79)),ROUND(Z79*J79/I79,2),"")</f>
        <v>3.78</v>
      </c>
      <c r="AB79" t="s">
        <v>42</v>
      </c>
      <c r="AC79" t="s">
        <v>43</v>
      </c>
      <c r="AD79" t="s">
        <v>44</v>
      </c>
      <c r="AE79" t="s">
        <v>45</v>
      </c>
    </row>
    <row r="80">
      <c r="A80">
        <v>874966</v>
      </c>
      <c r="B80">
        <v>874966</v>
      </c>
      <c r="C80" t="s">
        <v>142</v>
      </c>
      <c r="D80" t="s">
        <v>91</v>
      </c>
      <c r="E80" t="s">
        <v>133</v>
      </c>
      <c r="F80" s="1">
        <v>2.35</v>
      </c>
      <c r="G80" s="2">
        <v>0.4</v>
      </c>
      <c r="H80" s="2">
        <v>0.512</v>
      </c>
      <c r="I80" s="1">
        <v>3.29</v>
      </c>
      <c r="J80" s="1">
        <f>IF(AND(ISNUMBER(F80),ISNUMBER(H80)),ROUND(F80*(1+H80),2),"")</f>
        <v>3.55</v>
      </c>
      <c r="K80" s="2">
        <f>IF(AND(ISNUMBER(I80),I80&gt;0,ISNUMBER(J80)),J80/I80-1,"")</f>
        <v>0.07902735562310026</v>
      </c>
      <c r="L80" t="s">
        <v>38</v>
      </c>
      <c r="N80" s="1" t="s">
        <f>IF(AND(ISNUMBER(U80),U80&gt;0,ISNUMBER(J80)),ROUND(J80/U80,2),"")</f>
        <v>39</v>
      </c>
      <c r="Q80" t="s">
        <v>40</v>
      </c>
      <c r="R80" t="s">
        <v>39</v>
      </c>
      <c r="S80">
        <v>609201</v>
      </c>
      <c r="T80">
        <v>609201</v>
      </c>
      <c r="X80" t="s">
        <v>41</v>
      </c>
      <c r="Z80" s="1">
        <v>3.29</v>
      </c>
      <c r="AA80" s="1">
        <f>IF(AND(ISNUMBER(Z80),ISNUMBER(I80),I80&gt;0,ISNUMBER(J80)),ROUND(Z80*J80/I80,2),"")</f>
        <v>3.55</v>
      </c>
      <c r="AB80" t="s">
        <v>42</v>
      </c>
      <c r="AC80" t="s">
        <v>43</v>
      </c>
      <c r="AD80" t="s">
        <v>44</v>
      </c>
      <c r="AE80" t="s">
        <v>45</v>
      </c>
    </row>
    <row r="81">
      <c r="A81">
        <v>906542</v>
      </c>
      <c r="B81">
        <v>906542</v>
      </c>
      <c r="C81" t="s">
        <v>143</v>
      </c>
      <c r="D81" t="s">
        <v>91</v>
      </c>
      <c r="E81" t="s">
        <v>92</v>
      </c>
      <c r="F81" s="1">
        <v>3.5</v>
      </c>
      <c r="G81" s="2">
        <v>0.4</v>
      </c>
      <c r="H81" s="2">
        <v>0.512</v>
      </c>
      <c r="I81" s="1">
        <v>4.9</v>
      </c>
      <c r="J81" s="1">
        <f>IF(AND(ISNUMBER(F81),ISNUMBER(H81)),ROUND(F81*(1+H81),2),"")</f>
        <v>5.29</v>
      </c>
      <c r="K81" s="2">
        <f>IF(AND(ISNUMBER(I81),I81&gt;0,ISNUMBER(J81)),J81/I81-1,"")</f>
        <v>0.07959183673469372</v>
      </c>
      <c r="L81" t="s">
        <v>38</v>
      </c>
      <c r="M81" s="1">
        <v>4.9</v>
      </c>
      <c r="N81" s="1">
        <f>IF(AND(ISNUMBER(U81),U81&gt;0,ISNUMBER(J81)),ROUND(J81/U81,2),"")</f>
        <v>5.29</v>
      </c>
      <c r="Q81" t="s">
        <v>40</v>
      </c>
      <c r="R81" t="s">
        <v>39</v>
      </c>
      <c r="S81">
        <v>650570</v>
      </c>
      <c r="T81">
        <v>650570</v>
      </c>
      <c r="U81" s="3">
        <v>1</v>
      </c>
      <c r="X81" t="s">
        <v>41</v>
      </c>
      <c r="Z81" s="1">
        <v>4.9</v>
      </c>
      <c r="AA81" s="1">
        <f>IF(AND(ISNUMBER(Z81),ISNUMBER(I81),I81&gt;0,ISNUMBER(J81)),ROUND(Z81*J81/I81,2),"")</f>
        <v>5.29</v>
      </c>
      <c r="AB81" t="s">
        <v>42</v>
      </c>
      <c r="AC81" t="s">
        <v>43</v>
      </c>
      <c r="AD81" t="s">
        <v>48</v>
      </c>
      <c r="AE81" t="s">
        <v>45</v>
      </c>
    </row>
    <row r="82">
      <c r="A82">
        <v>805920</v>
      </c>
      <c r="B82">
        <v>805920</v>
      </c>
      <c r="C82" t="s">
        <v>144</v>
      </c>
      <c r="D82" t="s">
        <v>91</v>
      </c>
      <c r="E82" t="s">
        <v>96</v>
      </c>
      <c r="F82" s="1">
        <v>5.5</v>
      </c>
      <c r="G82" s="2">
        <v>0.4</v>
      </c>
      <c r="H82" s="2">
        <v>0.512</v>
      </c>
      <c r="I82" s="1">
        <v>7.7</v>
      </c>
      <c r="J82" s="1">
        <f>IF(AND(ISNUMBER(F82),ISNUMBER(H82)),ROUND(F82*(1+H82),2),"")</f>
        <v>8.32</v>
      </c>
      <c r="K82" s="2">
        <f>IF(AND(ISNUMBER(I82),I82&gt;0,ISNUMBER(J82)),J82/I82-1,"")</f>
        <v>0.08051948051948044</v>
      </c>
      <c r="L82" t="s">
        <v>38</v>
      </c>
      <c r="M82" s="1">
        <v>7.7</v>
      </c>
      <c r="N82" s="1">
        <f>IF(AND(ISNUMBER(U82),U82&gt;0,ISNUMBER(J82)),ROUND(J82/U82,2),"")</f>
        <v>8.32</v>
      </c>
      <c r="Q82" t="s">
        <v>40</v>
      </c>
      <c r="R82" t="s">
        <v>39</v>
      </c>
      <c r="S82">
        <v>526980</v>
      </c>
      <c r="T82">
        <v>526980</v>
      </c>
      <c r="U82" s="3">
        <v>1</v>
      </c>
      <c r="X82" t="s">
        <v>41</v>
      </c>
      <c r="Z82" s="1">
        <v>7.7</v>
      </c>
      <c r="AA82" s="1">
        <f>IF(AND(ISNUMBER(Z82),ISNUMBER(I82),I82&gt;0,ISNUMBER(J82)),ROUND(Z82*J82/I82,2),"")</f>
        <v>8.32</v>
      </c>
      <c r="AB82" t="s">
        <v>42</v>
      </c>
      <c r="AC82" t="s">
        <v>43</v>
      </c>
      <c r="AD82" t="s">
        <v>48</v>
      </c>
      <c r="AE82" t="s">
        <v>45</v>
      </c>
    </row>
    <row r="83">
      <c r="A83">
        <v>915287</v>
      </c>
      <c r="B83">
        <v>915287</v>
      </c>
      <c r="C83" t="s">
        <v>145</v>
      </c>
      <c r="D83" t="s">
        <v>91</v>
      </c>
      <c r="E83" t="s">
        <v>100</v>
      </c>
      <c r="F83" s="1">
        <v>2.5</v>
      </c>
      <c r="G83" s="2">
        <v>0.4</v>
      </c>
      <c r="H83" s="2">
        <v>0.512</v>
      </c>
      <c r="I83" s="1">
        <v>3.5</v>
      </c>
      <c r="J83" s="1">
        <f>IF(AND(ISNUMBER(F83),ISNUMBER(H83)),ROUND(F83*(1+H83),2),"")</f>
        <v>3.78</v>
      </c>
      <c r="K83" s="2">
        <f>IF(AND(ISNUMBER(I83),I83&gt;0,ISNUMBER(J83)),J83/I83-1,"")</f>
        <v>0.07999999999999985</v>
      </c>
      <c r="L83" t="s">
        <v>38</v>
      </c>
      <c r="M83" s="1">
        <v>3.5</v>
      </c>
      <c r="N83" s="1">
        <f>IF(AND(ISNUMBER(U83),U83&gt;0,ISNUMBER(J83)),ROUND(J83/U83,2),"")</f>
        <v>3.78</v>
      </c>
      <c r="Q83" t="s">
        <v>40</v>
      </c>
      <c r="R83" t="s">
        <v>39</v>
      </c>
      <c r="S83">
        <v>661221</v>
      </c>
      <c r="T83">
        <v>661221</v>
      </c>
      <c r="U83" s="3">
        <v>1</v>
      </c>
      <c r="X83" t="s">
        <v>41</v>
      </c>
      <c r="Z83" s="1">
        <v>3.5</v>
      </c>
      <c r="AA83" s="1">
        <f>IF(AND(ISNUMBER(Z83),ISNUMBER(I83),I83&gt;0,ISNUMBER(J83)),ROUND(Z83*J83/I83,2),"")</f>
        <v>3.78</v>
      </c>
      <c r="AB83" t="s">
        <v>42</v>
      </c>
      <c r="AC83" t="s">
        <v>43</v>
      </c>
      <c r="AD83" t="s">
        <v>48</v>
      </c>
      <c r="AE83" t="s">
        <v>45</v>
      </c>
    </row>
    <row r="84">
      <c r="A84">
        <v>972408</v>
      </c>
      <c r="B84">
        <v>972408</v>
      </c>
      <c r="C84" t="s">
        <v>146</v>
      </c>
      <c r="D84" t="s">
        <v>91</v>
      </c>
      <c r="E84" t="s">
        <v>147</v>
      </c>
      <c r="F84" s="1">
        <v>4</v>
      </c>
      <c r="G84" s="2">
        <v>0.4</v>
      </c>
      <c r="H84" s="2">
        <v>0.512</v>
      </c>
      <c r="I84" s="1">
        <v>5.6</v>
      </c>
      <c r="J84" s="1">
        <f>IF(AND(ISNUMBER(F84),ISNUMBER(H84)),ROUND(F84*(1+H84),2),"")</f>
        <v>6.05</v>
      </c>
      <c r="K84" s="2">
        <f>IF(AND(ISNUMBER(I84),I84&gt;0,ISNUMBER(J84)),J84/I84-1,"")</f>
        <v>0.0803571428571428</v>
      </c>
      <c r="L84" t="s">
        <v>38</v>
      </c>
      <c r="M84" s="1">
        <v>11.2</v>
      </c>
      <c r="N84" s="1">
        <f>IF(AND(ISNUMBER(U84),U84&gt;0,ISNUMBER(J84)),ROUND(J84/U84,2),"")</f>
        <v>12.1</v>
      </c>
      <c r="Q84" t="s">
        <v>40</v>
      </c>
      <c r="R84" t="s">
        <v>39</v>
      </c>
      <c r="S84">
        <v>736582</v>
      </c>
      <c r="T84">
        <v>736582</v>
      </c>
      <c r="U84" s="3">
        <v>0.5</v>
      </c>
      <c r="X84" t="s">
        <v>41</v>
      </c>
      <c r="Z84" s="1">
        <v>5.6</v>
      </c>
      <c r="AA84" s="1">
        <f>IF(AND(ISNUMBER(Z84),ISNUMBER(I84),I84&gt;0,ISNUMBER(J84)),ROUND(Z84*J84/I84,2),"")</f>
        <v>6.05</v>
      </c>
      <c r="AB84" t="s">
        <v>42</v>
      </c>
      <c r="AC84" t="s">
        <v>43</v>
      </c>
      <c r="AD84" t="s">
        <v>48</v>
      </c>
      <c r="AE84" t="s">
        <v>45</v>
      </c>
    </row>
    <row r="85">
      <c r="A85">
        <v>812653</v>
      </c>
      <c r="B85">
        <v>812653</v>
      </c>
      <c r="C85" t="s">
        <v>148</v>
      </c>
      <c r="D85" t="s">
        <v>91</v>
      </c>
      <c r="E85" t="s">
        <v>113</v>
      </c>
      <c r="F85" s="1">
        <v>5</v>
      </c>
      <c r="G85" s="2">
        <v>0.4</v>
      </c>
      <c r="H85" s="2">
        <v>0.512</v>
      </c>
      <c r="I85" s="1">
        <v>7</v>
      </c>
      <c r="J85" s="1">
        <f>IF(AND(ISNUMBER(F85),ISNUMBER(H85)),ROUND(F85*(1+H85),2),"")</f>
        <v>7.56</v>
      </c>
      <c r="K85" s="2">
        <f>IF(AND(ISNUMBER(I85),I85&gt;0,ISNUMBER(J85)),J85/I85-1,"")</f>
        <v>0.07999999999999985</v>
      </c>
      <c r="L85" t="s">
        <v>38</v>
      </c>
      <c r="M85" s="1">
        <v>7</v>
      </c>
      <c r="N85" s="1">
        <f>IF(AND(ISNUMBER(U85),U85&gt;0,ISNUMBER(J85)),ROUND(J85/U85,2),"")</f>
        <v>7.56</v>
      </c>
      <c r="Q85" t="s">
        <v>40</v>
      </c>
      <c r="R85" t="s">
        <v>39</v>
      </c>
      <c r="S85">
        <v>534521</v>
      </c>
      <c r="T85">
        <v>534521</v>
      </c>
      <c r="U85" s="3">
        <v>1</v>
      </c>
      <c r="X85" t="s">
        <v>41</v>
      </c>
      <c r="Z85" s="1">
        <v>7</v>
      </c>
      <c r="AA85" s="1">
        <f>IF(AND(ISNUMBER(Z85),ISNUMBER(I85),I85&gt;0,ISNUMBER(J85)),ROUND(Z85*J85/I85,2),"")</f>
        <v>7.56</v>
      </c>
      <c r="AB85" t="s">
        <v>42</v>
      </c>
      <c r="AC85" t="s">
        <v>43</v>
      </c>
      <c r="AD85" t="s">
        <v>48</v>
      </c>
      <c r="AE85" t="s">
        <v>45</v>
      </c>
    </row>
    <row r="86">
      <c r="A86">
        <v>899372</v>
      </c>
      <c r="B86">
        <v>899372</v>
      </c>
      <c r="C86" t="s">
        <v>149</v>
      </c>
      <c r="D86" t="s">
        <v>91</v>
      </c>
      <c r="E86" t="s">
        <v>100</v>
      </c>
      <c r="F86" s="1">
        <v>4</v>
      </c>
      <c r="G86" s="2">
        <v>0.4</v>
      </c>
      <c r="H86" s="2">
        <v>0.512</v>
      </c>
      <c r="I86" s="1">
        <v>5.6</v>
      </c>
      <c r="J86" s="1">
        <f>IF(AND(ISNUMBER(F86),ISNUMBER(H86)),ROUND(F86*(1+H86),2),"")</f>
        <v>6.05</v>
      </c>
      <c r="K86" s="2">
        <f>IF(AND(ISNUMBER(I86),I86&gt;0,ISNUMBER(J86)),J86/I86-1,"")</f>
        <v>0.0803571428571428</v>
      </c>
      <c r="L86" t="s">
        <v>38</v>
      </c>
      <c r="M86" s="1">
        <v>5.6</v>
      </c>
      <c r="N86" s="1">
        <f>IF(AND(ISNUMBER(U86),U86&gt;0,ISNUMBER(J86)),ROUND(J86/U86,2),"")</f>
        <v>6.05</v>
      </c>
      <c r="Q86" t="s">
        <v>40</v>
      </c>
      <c r="R86" t="s">
        <v>39</v>
      </c>
      <c r="S86">
        <v>641156</v>
      </c>
      <c r="T86">
        <v>641156</v>
      </c>
      <c r="U86" s="3">
        <v>1</v>
      </c>
      <c r="X86" t="s">
        <v>41</v>
      </c>
      <c r="Z86" s="1">
        <v>5.6</v>
      </c>
      <c r="AA86" s="1">
        <f>IF(AND(ISNUMBER(Z86),ISNUMBER(I86),I86&gt;0,ISNUMBER(J86)),ROUND(Z86*J86/I86,2),"")</f>
        <v>6.05</v>
      </c>
      <c r="AB86" t="s">
        <v>42</v>
      </c>
      <c r="AC86" t="s">
        <v>43</v>
      </c>
      <c r="AD86" t="s">
        <v>48</v>
      </c>
      <c r="AE86" t="s">
        <v>45</v>
      </c>
    </row>
    <row r="87">
      <c r="A87">
        <v>805983</v>
      </c>
      <c r="B87">
        <v>805983</v>
      </c>
      <c r="C87" t="s">
        <v>150</v>
      </c>
      <c r="D87" t="s">
        <v>91</v>
      </c>
      <c r="E87" t="s">
        <v>96</v>
      </c>
      <c r="F87" s="1">
        <v>3</v>
      </c>
      <c r="G87" s="2">
        <v>0.4</v>
      </c>
      <c r="H87" s="2">
        <v>0.512</v>
      </c>
      <c r="I87" s="1">
        <v>4.2</v>
      </c>
      <c r="J87" s="1">
        <f>IF(AND(ISNUMBER(F87),ISNUMBER(H87)),ROUND(F87*(1+H87),2),"")</f>
        <v>4.54</v>
      </c>
      <c r="K87" s="2">
        <f>IF(AND(ISNUMBER(I87),I87&gt;0,ISNUMBER(J87)),J87/I87-1,"")</f>
        <v>0.08095238095238089</v>
      </c>
      <c r="L87" t="s">
        <v>38</v>
      </c>
      <c r="N87" s="1" t="s">
        <f>IF(AND(ISNUMBER(U87),U87&gt;0,ISNUMBER(J87)),ROUND(J87/U87,2),"")</f>
        <v>39</v>
      </c>
      <c r="Q87" t="s">
        <v>40</v>
      </c>
      <c r="R87" t="s">
        <v>39</v>
      </c>
      <c r="S87">
        <v>527043</v>
      </c>
      <c r="T87">
        <v>527043</v>
      </c>
      <c r="X87" t="s">
        <v>41</v>
      </c>
      <c r="Z87" s="1">
        <v>4.2</v>
      </c>
      <c r="AA87" s="1">
        <f>IF(AND(ISNUMBER(Z87),ISNUMBER(I87),I87&gt;0,ISNUMBER(J87)),ROUND(Z87*J87/I87,2),"")</f>
        <v>4.54</v>
      </c>
      <c r="AB87" t="s">
        <v>42</v>
      </c>
      <c r="AC87" t="s">
        <v>43</v>
      </c>
      <c r="AD87" t="s">
        <v>44</v>
      </c>
      <c r="AE87" t="s">
        <v>45</v>
      </c>
    </row>
    <row r="88">
      <c r="A88">
        <v>806009</v>
      </c>
      <c r="B88">
        <v>806009</v>
      </c>
      <c r="C88" t="s">
        <v>151</v>
      </c>
      <c r="D88" t="s">
        <v>91</v>
      </c>
      <c r="E88" t="s">
        <v>100</v>
      </c>
      <c r="F88" s="1">
        <v>2</v>
      </c>
      <c r="G88" s="2">
        <v>0.4</v>
      </c>
      <c r="H88" s="2">
        <v>0.512</v>
      </c>
      <c r="I88" s="1">
        <v>2.8</v>
      </c>
      <c r="J88" s="1">
        <f>IF(AND(ISNUMBER(F88),ISNUMBER(H88)),ROUND(F88*(1+H88),2),"")</f>
        <v>3.02</v>
      </c>
      <c r="K88" s="2">
        <f>IF(AND(ISNUMBER(I88),I88&gt;0,ISNUMBER(J88)),J88/I88-1,"")</f>
        <v>0.07857142857142874</v>
      </c>
      <c r="L88" t="s">
        <v>38</v>
      </c>
      <c r="M88" s="1">
        <v>2.8</v>
      </c>
      <c r="N88" s="1">
        <f>IF(AND(ISNUMBER(U88),U88&gt;0,ISNUMBER(J88)),ROUND(J88/U88,2),"")</f>
        <v>3.02</v>
      </c>
      <c r="Q88" t="s">
        <v>40</v>
      </c>
      <c r="R88" t="s">
        <v>39</v>
      </c>
      <c r="S88">
        <v>527069</v>
      </c>
      <c r="T88">
        <v>527069</v>
      </c>
      <c r="U88" s="3">
        <v>1</v>
      </c>
      <c r="X88" t="s">
        <v>41</v>
      </c>
      <c r="Z88" s="1">
        <v>2.8</v>
      </c>
      <c r="AA88" s="1">
        <f>IF(AND(ISNUMBER(Z88),ISNUMBER(I88),I88&gt;0,ISNUMBER(J88)),ROUND(Z88*J88/I88,2),"")</f>
        <v>3.02</v>
      </c>
      <c r="AB88" t="s">
        <v>42</v>
      </c>
      <c r="AC88" t="s">
        <v>43</v>
      </c>
      <c r="AD88" t="s">
        <v>48</v>
      </c>
      <c r="AE88" t="s">
        <v>45</v>
      </c>
    </row>
    <row r="89">
      <c r="A89">
        <v>973113</v>
      </c>
      <c r="B89">
        <v>973113</v>
      </c>
      <c r="C89" t="s">
        <v>152</v>
      </c>
      <c r="D89" t="s">
        <v>91</v>
      </c>
      <c r="E89" t="s">
        <v>153</v>
      </c>
      <c r="F89" s="1">
        <v>2.95</v>
      </c>
      <c r="G89" s="2">
        <v>0.4</v>
      </c>
      <c r="H89" s="2">
        <v>0.512</v>
      </c>
      <c r="I89" s="1">
        <v>4.13</v>
      </c>
      <c r="J89" s="1">
        <f>IF(AND(ISNUMBER(F89),ISNUMBER(H89)),ROUND(F89*(1+H89),2),"")</f>
        <v>4.46</v>
      </c>
      <c r="K89" s="2">
        <f>IF(AND(ISNUMBER(I89),I89&gt;0,ISNUMBER(J89)),J89/I89-1,"")</f>
        <v>0.07990314769975781</v>
      </c>
      <c r="L89" t="s">
        <v>38</v>
      </c>
      <c r="M89" s="1">
        <v>8.26</v>
      </c>
      <c r="N89" s="1">
        <f>IF(AND(ISNUMBER(U89),U89&gt;0,ISNUMBER(J89)),ROUND(J89/U89,2),"")</f>
        <v>8.92</v>
      </c>
      <c r="Q89" t="s">
        <v>40</v>
      </c>
      <c r="R89" t="s">
        <v>39</v>
      </c>
      <c r="S89">
        <v>737953</v>
      </c>
      <c r="T89">
        <v>737953</v>
      </c>
      <c r="U89" s="3">
        <v>0.5</v>
      </c>
      <c r="X89" t="s">
        <v>41</v>
      </c>
      <c r="Z89" s="1">
        <v>4.13</v>
      </c>
      <c r="AA89" s="1">
        <f>IF(AND(ISNUMBER(Z89),ISNUMBER(I89),I89&gt;0,ISNUMBER(J89)),ROUND(Z89*J89/I89,2),"")</f>
        <v>4.46</v>
      </c>
      <c r="AB89" t="s">
        <v>42</v>
      </c>
      <c r="AC89" t="s">
        <v>43</v>
      </c>
      <c r="AD89" t="s">
        <v>48</v>
      </c>
      <c r="AE89" t="s">
        <v>45</v>
      </c>
    </row>
    <row r="90">
      <c r="A90">
        <v>805954</v>
      </c>
      <c r="B90">
        <v>805954</v>
      </c>
      <c r="C90" t="s">
        <v>154</v>
      </c>
      <c r="D90" t="s">
        <v>91</v>
      </c>
      <c r="E90" t="s">
        <v>96</v>
      </c>
      <c r="F90" s="1">
        <v>3.35</v>
      </c>
      <c r="G90" s="2">
        <v>0.4</v>
      </c>
      <c r="H90" s="2">
        <v>0.512</v>
      </c>
      <c r="I90" s="1">
        <v>4.69</v>
      </c>
      <c r="J90" s="1">
        <f>IF(AND(ISNUMBER(F90),ISNUMBER(H90)),ROUND(F90*(1+H90),2),"")</f>
        <v>5.07</v>
      </c>
      <c r="K90" s="2">
        <f>IF(AND(ISNUMBER(I90),I90&gt;0,ISNUMBER(J90)),J90/I90-1,"")</f>
        <v>0.08102345415778256</v>
      </c>
      <c r="L90" t="s">
        <v>38</v>
      </c>
      <c r="M90" s="1">
        <v>4.69</v>
      </c>
      <c r="N90" s="1">
        <f>IF(AND(ISNUMBER(U90),U90&gt;0,ISNUMBER(J90)),ROUND(J90/U90,2),"")</f>
        <v>5.07</v>
      </c>
      <c r="Q90" t="s">
        <v>40</v>
      </c>
      <c r="R90" t="s">
        <v>39</v>
      </c>
      <c r="S90">
        <v>527014</v>
      </c>
      <c r="T90">
        <v>527014</v>
      </c>
      <c r="U90" s="3">
        <v>1</v>
      </c>
      <c r="X90" t="s">
        <v>41</v>
      </c>
      <c r="Z90" s="1">
        <v>4.69</v>
      </c>
      <c r="AA90" s="1">
        <f>IF(AND(ISNUMBER(Z90),ISNUMBER(I90),I90&gt;0,ISNUMBER(J90)),ROUND(Z90*J90/I90,2),"")</f>
        <v>5.07</v>
      </c>
      <c r="AB90" t="s">
        <v>42</v>
      </c>
      <c r="AC90" t="s">
        <v>43</v>
      </c>
      <c r="AD90" t="s">
        <v>48</v>
      </c>
      <c r="AE90" t="s">
        <v>45</v>
      </c>
    </row>
    <row r="91">
      <c r="A91">
        <v>805963</v>
      </c>
      <c r="B91">
        <v>805963</v>
      </c>
      <c r="C91" t="s">
        <v>155</v>
      </c>
      <c r="D91" t="s">
        <v>91</v>
      </c>
      <c r="E91" t="s">
        <v>96</v>
      </c>
      <c r="F91" s="1">
        <v>3.25</v>
      </c>
      <c r="G91" s="2">
        <v>0.4</v>
      </c>
      <c r="H91" s="2">
        <v>0.512</v>
      </c>
      <c r="I91" s="1">
        <v>4.55</v>
      </c>
      <c r="J91" s="1">
        <f>IF(AND(ISNUMBER(F91),ISNUMBER(H91)),ROUND(F91*(1+H91),2),"")</f>
        <v>4.91</v>
      </c>
      <c r="K91" s="2">
        <f>IF(AND(ISNUMBER(I91),I91&gt;0,ISNUMBER(J91)),J91/I91-1,"")</f>
        <v>0.07912087912087928</v>
      </c>
      <c r="L91" t="s">
        <v>38</v>
      </c>
      <c r="N91" s="1" t="s">
        <f>IF(AND(ISNUMBER(U91),U91&gt;0,ISNUMBER(J91)),ROUND(J91/U91,2),"")</f>
        <v>39</v>
      </c>
      <c r="Q91" t="s">
        <v>40</v>
      </c>
      <c r="R91" t="s">
        <v>39</v>
      </c>
      <c r="S91">
        <v>527023</v>
      </c>
      <c r="T91">
        <v>527023</v>
      </c>
      <c r="X91" t="s">
        <v>41</v>
      </c>
      <c r="Z91" s="1">
        <v>4.55</v>
      </c>
      <c r="AA91" s="1">
        <f>IF(AND(ISNUMBER(Z91),ISNUMBER(I91),I91&gt;0,ISNUMBER(J91)),ROUND(Z91*J91/I91,2),"")</f>
        <v>4.91</v>
      </c>
      <c r="AB91" t="s">
        <v>42</v>
      </c>
      <c r="AC91" t="s">
        <v>43</v>
      </c>
      <c r="AD91" t="s">
        <v>48</v>
      </c>
      <c r="AE91" t="s">
        <v>45</v>
      </c>
    </row>
    <row r="92">
      <c r="A92">
        <v>964205</v>
      </c>
      <c r="B92">
        <v>964205</v>
      </c>
      <c r="C92" t="s">
        <v>156</v>
      </c>
      <c r="D92" t="s">
        <v>91</v>
      </c>
      <c r="E92" t="s">
        <v>98</v>
      </c>
      <c r="F92" s="1">
        <v>2.35</v>
      </c>
      <c r="G92" s="2">
        <v>0.4</v>
      </c>
      <c r="H92" s="2">
        <v>0.512</v>
      </c>
      <c r="I92" s="1">
        <v>3.29</v>
      </c>
      <c r="J92" s="1">
        <f>IF(AND(ISNUMBER(F92),ISNUMBER(H92)),ROUND(F92*(1+H92),2),"")</f>
        <v>3.55</v>
      </c>
      <c r="K92" s="2">
        <f>IF(AND(ISNUMBER(I92),I92&gt;0,ISNUMBER(J92)),J92/I92-1,"")</f>
        <v>0.07902735562310026</v>
      </c>
      <c r="L92" t="s">
        <v>38</v>
      </c>
      <c r="N92" s="1" t="s">
        <f>IF(AND(ISNUMBER(U92),U92&gt;0,ISNUMBER(J92)),ROUND(J92/U92,2),"")</f>
        <v>39</v>
      </c>
      <c r="Q92" t="s">
        <v>40</v>
      </c>
      <c r="R92" t="s">
        <v>39</v>
      </c>
      <c r="S92">
        <v>725640</v>
      </c>
      <c r="T92">
        <v>725640</v>
      </c>
      <c r="X92" t="s">
        <v>41</v>
      </c>
      <c r="Z92" s="1">
        <v>3.29</v>
      </c>
      <c r="AA92" s="1">
        <f>IF(AND(ISNUMBER(Z92),ISNUMBER(I92),I92&gt;0,ISNUMBER(J92)),ROUND(Z92*J92/I92,2),"")</f>
        <v>3.55</v>
      </c>
      <c r="AB92" t="s">
        <v>42</v>
      </c>
      <c r="AC92" t="s">
        <v>43</v>
      </c>
      <c r="AD92" t="s">
        <v>48</v>
      </c>
      <c r="AE92" t="s">
        <v>45</v>
      </c>
    </row>
    <row r="93">
      <c r="A93">
        <v>911651</v>
      </c>
      <c r="B93">
        <v>911651</v>
      </c>
      <c r="C93" t="s">
        <v>157</v>
      </c>
      <c r="D93" t="s">
        <v>158</v>
      </c>
      <c r="E93" t="s">
        <v>159</v>
      </c>
      <c r="F93" s="1">
        <v>8.98</v>
      </c>
      <c r="G93" s="2">
        <v>0.6</v>
      </c>
      <c r="H93" s="2">
        <v>0.728</v>
      </c>
      <c r="I93" s="1">
        <v>14.37</v>
      </c>
      <c r="J93" s="1">
        <f>IF(AND(ISNUMBER(F93),ISNUMBER(H93)),ROUND(F93*(1+H93),2),"")</f>
        <v>15.52</v>
      </c>
      <c r="K93" s="2">
        <f>IF(AND(ISNUMBER(I93),I93&gt;0,ISNUMBER(J93)),J93/I93-1,"")</f>
        <v>0.08002783576896322</v>
      </c>
      <c r="L93" t="s">
        <v>38</v>
      </c>
      <c r="M93" s="1">
        <v>43.38</v>
      </c>
      <c r="N93" s="1">
        <f>IF(AND(ISNUMBER(U93),U93&gt;0,ISNUMBER(J93)),ROUND(J93/U93,2),"")</f>
        <v>46.85</v>
      </c>
      <c r="Q93" t="s">
        <v>40</v>
      </c>
      <c r="R93" t="s">
        <v>39</v>
      </c>
      <c r="S93">
        <v>656878</v>
      </c>
      <c r="T93">
        <v>656878</v>
      </c>
      <c r="U93" s="3">
        <v>0.33125</v>
      </c>
      <c r="X93" t="s">
        <v>41</v>
      </c>
      <c r="Z93" s="1">
        <v>14.37</v>
      </c>
      <c r="AA93" s="1">
        <f>IF(AND(ISNUMBER(Z93),ISNUMBER(I93),I93&gt;0,ISNUMBER(J93)),ROUND(Z93*J93/I93,2),"")</f>
        <v>15.52</v>
      </c>
      <c r="AB93" t="s">
        <v>42</v>
      </c>
      <c r="AC93" t="s">
        <v>134</v>
      </c>
      <c r="AD93" t="s">
        <v>48</v>
      </c>
      <c r="AE93" t="s">
        <v>45</v>
      </c>
    </row>
    <row r="94">
      <c r="A94">
        <v>911647</v>
      </c>
      <c r="B94">
        <v>911647</v>
      </c>
      <c r="C94" t="s">
        <v>160</v>
      </c>
      <c r="D94" t="s">
        <v>158</v>
      </c>
      <c r="E94" t="s">
        <v>161</v>
      </c>
      <c r="F94" s="1">
        <v>11.24</v>
      </c>
      <c r="G94" s="2">
        <v>0.6</v>
      </c>
      <c r="H94" s="2">
        <v>0.728</v>
      </c>
      <c r="I94" s="1">
        <v>17.98</v>
      </c>
      <c r="J94" s="1">
        <f>IF(AND(ISNUMBER(F94),ISNUMBER(H94)),ROUND(F94*(1+H94),2),"")</f>
        <v>19.42</v>
      </c>
      <c r="K94" s="2">
        <f>IF(AND(ISNUMBER(I94),I94&gt;0,ISNUMBER(J94)),J94/I94-1,"")</f>
        <v>0.08008898776418238</v>
      </c>
      <c r="L94" t="s">
        <v>38</v>
      </c>
      <c r="M94" s="1">
        <v>44.95</v>
      </c>
      <c r="N94" s="1">
        <f>IF(AND(ISNUMBER(U94),U94&gt;0,ISNUMBER(J94)),ROUND(J94/U94,2),"")</f>
        <v>48.55</v>
      </c>
      <c r="Q94" t="s">
        <v>40</v>
      </c>
      <c r="R94" t="s">
        <v>39</v>
      </c>
      <c r="S94">
        <v>656874</v>
      </c>
      <c r="T94">
        <v>656874</v>
      </c>
      <c r="U94" s="3">
        <v>0.4</v>
      </c>
      <c r="X94" t="s">
        <v>41</v>
      </c>
      <c r="Z94" s="1">
        <v>17.98</v>
      </c>
      <c r="AA94" s="1">
        <f>IF(AND(ISNUMBER(Z94),ISNUMBER(I94),I94&gt;0,ISNUMBER(J94)),ROUND(Z94*J94/I94,2),"")</f>
        <v>19.42</v>
      </c>
      <c r="AB94" t="s">
        <v>42</v>
      </c>
      <c r="AC94" t="s">
        <v>134</v>
      </c>
      <c r="AD94" t="s">
        <v>48</v>
      </c>
      <c r="AE94" t="s">
        <v>45</v>
      </c>
    </row>
    <row r="95">
      <c r="A95">
        <v>911648</v>
      </c>
      <c r="B95">
        <v>911648</v>
      </c>
      <c r="C95" t="s">
        <v>162</v>
      </c>
      <c r="D95" t="s">
        <v>158</v>
      </c>
      <c r="E95" t="s">
        <v>163</v>
      </c>
      <c r="F95" s="1">
        <v>11.84</v>
      </c>
      <c r="G95" s="2">
        <v>0.6</v>
      </c>
      <c r="H95" s="2">
        <v>0.728</v>
      </c>
      <c r="I95" s="1">
        <v>18.94</v>
      </c>
      <c r="J95" s="1">
        <f>IF(AND(ISNUMBER(F95),ISNUMBER(H95)),ROUND(F95*(1+H95),2),"")</f>
        <v>20.46</v>
      </c>
      <c r="K95" s="2">
        <f>IF(AND(ISNUMBER(I95),I95&gt;0,ISNUMBER(J95)),J95/I95-1,"")</f>
        <v>0.08025343189017953</v>
      </c>
      <c r="L95" t="s">
        <v>38</v>
      </c>
      <c r="M95" s="1">
        <v>40.41</v>
      </c>
      <c r="N95" s="1">
        <f>IF(AND(ISNUMBER(U95),U95&gt;0,ISNUMBER(J95)),ROUND(J95/U95,2),"")</f>
        <v>43.65</v>
      </c>
      <c r="Q95" t="s">
        <v>40</v>
      </c>
      <c r="R95" t="s">
        <v>39</v>
      </c>
      <c r="S95">
        <v>656875</v>
      </c>
      <c r="T95">
        <v>656875</v>
      </c>
      <c r="U95" s="3">
        <v>0.46875</v>
      </c>
      <c r="X95" t="s">
        <v>41</v>
      </c>
      <c r="Z95" s="1">
        <v>18.94</v>
      </c>
      <c r="AA95" s="1">
        <f>IF(AND(ISNUMBER(Z95),ISNUMBER(I95),I95&gt;0,ISNUMBER(J95)),ROUND(Z95*J95/I95,2),"")</f>
        <v>20.46</v>
      </c>
      <c r="AB95" t="s">
        <v>42</v>
      </c>
      <c r="AC95" t="s">
        <v>134</v>
      </c>
      <c r="AD95" t="s">
        <v>48</v>
      </c>
      <c r="AE95" t="s">
        <v>45</v>
      </c>
    </row>
    <row r="96">
      <c r="A96">
        <v>804350</v>
      </c>
      <c r="B96">
        <v>804350</v>
      </c>
      <c r="C96" t="s">
        <v>164</v>
      </c>
      <c r="D96" t="s">
        <v>158</v>
      </c>
      <c r="E96" t="s">
        <v>165</v>
      </c>
      <c r="F96" s="1">
        <v>50</v>
      </c>
      <c r="J96" s="1" t="s">
        <f>IF(AND(ISNUMBER(F96),ISNUMBER(H96)),ROUND(F96*(1+H96),2),"")</f>
        <v>39</v>
      </c>
      <c r="K96" s="2" t="s">
        <f>IF(AND(ISNUMBER(I96),I96&gt;0,ISNUMBER(J96)),J96/I96-1,"")</f>
        <v>39</v>
      </c>
      <c r="L96" t="s">
        <v>38</v>
      </c>
      <c r="N96" s="1" t="s">
        <f>IF(AND(ISNUMBER(U96),U96&gt;0,ISNUMBER(J96)),ROUND(J96/U96,2),"")</f>
        <v>39</v>
      </c>
      <c r="Q96" t="s">
        <v>166</v>
      </c>
      <c r="R96" t="s">
        <v>39</v>
      </c>
      <c r="S96">
        <v>525025</v>
      </c>
      <c r="T96">
        <v>525025</v>
      </c>
      <c r="X96" t="s">
        <v>41</v>
      </c>
      <c r="AA96" s="1" t="s">
        <f>IF(AND(ISNUMBER(Z96),ISNUMBER(I96),I96&gt;0,ISNUMBER(J96)),ROUND(Z96*J96/I96,2),"")</f>
        <v>39</v>
      </c>
      <c r="AB96" t="s">
        <v>167</v>
      </c>
      <c r="AC96" t="s">
        <v>168</v>
      </c>
      <c r="AD96" t="s">
        <v>44</v>
      </c>
      <c r="AE96" t="s">
        <v>45</v>
      </c>
    </row>
    <row r="97">
      <c r="A97">
        <v>1004516</v>
      </c>
      <c r="B97">
        <v>1004516</v>
      </c>
      <c r="C97" t="s">
        <v>169</v>
      </c>
      <c r="D97" t="s">
        <v>158</v>
      </c>
      <c r="E97" t="s">
        <v>170</v>
      </c>
      <c r="F97" s="1">
        <v>8.98</v>
      </c>
      <c r="G97" s="2">
        <v>0.4</v>
      </c>
      <c r="H97" s="2">
        <v>0.512</v>
      </c>
      <c r="I97" s="1">
        <v>12.57</v>
      </c>
      <c r="J97" s="1">
        <f>IF(AND(ISNUMBER(F97),ISNUMBER(H97)),ROUND(F97*(1+H97),2),"")</f>
        <v>13.58</v>
      </c>
      <c r="K97" s="2">
        <f>IF(AND(ISNUMBER(I97),I97&gt;0,ISNUMBER(J97)),J97/I97-1,"")</f>
        <v>0.08035003977724742</v>
      </c>
      <c r="L97" t="s">
        <v>38</v>
      </c>
      <c r="M97" s="1">
        <v>37.95</v>
      </c>
      <c r="N97" s="1">
        <f>IF(AND(ISNUMBER(U97),U97&gt;0,ISNUMBER(J97)),ROUND(J97/U97,2),"")</f>
        <v>41</v>
      </c>
      <c r="Q97" t="s">
        <v>40</v>
      </c>
      <c r="R97" t="s">
        <v>39</v>
      </c>
      <c r="S97">
        <v>784551</v>
      </c>
      <c r="T97">
        <v>784551</v>
      </c>
      <c r="U97" s="3">
        <v>0.33125</v>
      </c>
      <c r="X97" t="s">
        <v>41</v>
      </c>
      <c r="Z97" s="1">
        <v>12.57</v>
      </c>
      <c r="AA97" s="1">
        <f>IF(AND(ISNUMBER(Z97),ISNUMBER(I97),I97&gt;0,ISNUMBER(J97)),ROUND(Z97*J97/I97,2),"")</f>
        <v>13.58</v>
      </c>
      <c r="AB97" t="s">
        <v>42</v>
      </c>
      <c r="AC97" t="s">
        <v>43</v>
      </c>
      <c r="AD97" t="s">
        <v>48</v>
      </c>
      <c r="AE97" t="s">
        <v>45</v>
      </c>
    </row>
    <row r="98">
      <c r="A98">
        <v>957423</v>
      </c>
      <c r="B98">
        <v>957423</v>
      </c>
      <c r="C98" t="s">
        <v>171</v>
      </c>
      <c r="D98" t="s">
        <v>158</v>
      </c>
      <c r="E98" t="s">
        <v>172</v>
      </c>
      <c r="F98" s="1">
        <v>11.24</v>
      </c>
      <c r="G98" s="2">
        <v>0.4</v>
      </c>
      <c r="H98" s="2">
        <v>0.512</v>
      </c>
      <c r="I98" s="1">
        <v>15.74</v>
      </c>
      <c r="J98" s="1">
        <f>IF(AND(ISNUMBER(F98),ISNUMBER(H98)),ROUND(F98*(1+H98),2),"")</f>
        <v>16.99</v>
      </c>
      <c r="K98" s="2">
        <f>IF(AND(ISNUMBER(I98),I98&gt;0,ISNUMBER(J98)),J98/I98-1,"")</f>
        <v>0.07941550190597191</v>
      </c>
      <c r="L98" t="s">
        <v>38</v>
      </c>
      <c r="M98" s="1">
        <v>39.35</v>
      </c>
      <c r="N98" s="1">
        <f>IF(AND(ISNUMBER(U98),U98&gt;0,ISNUMBER(J98)),ROUND(J98/U98,2),"")</f>
        <v>42.47</v>
      </c>
      <c r="Q98" t="s">
        <v>40</v>
      </c>
      <c r="R98" t="s">
        <v>39</v>
      </c>
      <c r="S98">
        <v>716436</v>
      </c>
      <c r="T98">
        <v>716436</v>
      </c>
      <c r="U98" s="3">
        <v>0.4</v>
      </c>
      <c r="X98" t="s">
        <v>41</v>
      </c>
      <c r="Z98" s="1">
        <v>15.74</v>
      </c>
      <c r="AA98" s="1">
        <f>IF(AND(ISNUMBER(Z98),ISNUMBER(I98),I98&gt;0,ISNUMBER(J98)),ROUND(Z98*J98/I98,2),"")</f>
        <v>16.99</v>
      </c>
      <c r="AB98" t="s">
        <v>42</v>
      </c>
      <c r="AC98" t="s">
        <v>43</v>
      </c>
      <c r="AD98" t="s">
        <v>48</v>
      </c>
      <c r="AE98" t="s">
        <v>45</v>
      </c>
    </row>
    <row r="99">
      <c r="A99">
        <v>957424</v>
      </c>
      <c r="B99">
        <v>957424</v>
      </c>
      <c r="C99" t="s">
        <v>173</v>
      </c>
      <c r="D99" t="s">
        <v>158</v>
      </c>
      <c r="E99" t="s">
        <v>174</v>
      </c>
      <c r="F99" s="1">
        <v>11.84</v>
      </c>
      <c r="G99" s="2">
        <v>0.4</v>
      </c>
      <c r="H99" s="2">
        <v>0.512</v>
      </c>
      <c r="I99" s="1">
        <v>16.58</v>
      </c>
      <c r="J99" s="1">
        <f>IF(AND(ISNUMBER(F99),ISNUMBER(H99)),ROUND(F99*(1+H99),2),"")</f>
        <v>17.9</v>
      </c>
      <c r="K99" s="2">
        <f>IF(AND(ISNUMBER(I99),I99&gt;0,ISNUMBER(J99)),J99/I99-1,"")</f>
        <v>0.07961399276236425</v>
      </c>
      <c r="L99" t="s">
        <v>38</v>
      </c>
      <c r="M99" s="1">
        <v>35.37</v>
      </c>
      <c r="N99" s="1">
        <f>IF(AND(ISNUMBER(U99),U99&gt;0,ISNUMBER(J99)),ROUND(J99/U99,2),"")</f>
        <v>38.19</v>
      </c>
      <c r="Q99" t="s">
        <v>40</v>
      </c>
      <c r="R99" t="s">
        <v>39</v>
      </c>
      <c r="S99">
        <v>716438</v>
      </c>
      <c r="T99">
        <v>716438</v>
      </c>
      <c r="U99" s="3">
        <v>0.46875</v>
      </c>
      <c r="X99" t="s">
        <v>41</v>
      </c>
      <c r="Z99" s="1">
        <v>16.58</v>
      </c>
      <c r="AA99" s="1">
        <f>IF(AND(ISNUMBER(Z99),ISNUMBER(I99),I99&gt;0,ISNUMBER(J99)),ROUND(Z99*J99/I99,2),"")</f>
        <v>17.9</v>
      </c>
      <c r="AB99" t="s">
        <v>42</v>
      </c>
      <c r="AC99" t="s">
        <v>43</v>
      </c>
      <c r="AD99" t="s">
        <v>48</v>
      </c>
      <c r="AE99" t="s">
        <v>45</v>
      </c>
    </row>
    <row r="100">
      <c r="A100">
        <v>936388</v>
      </c>
      <c r="B100">
        <v>936388</v>
      </c>
      <c r="C100" t="s">
        <v>175</v>
      </c>
      <c r="D100" t="s">
        <v>158</v>
      </c>
      <c r="E100" t="s">
        <v>159</v>
      </c>
      <c r="F100" s="1">
        <v>9.98</v>
      </c>
      <c r="G100" s="2">
        <v>0.4</v>
      </c>
      <c r="H100" s="2">
        <v>0.512</v>
      </c>
      <c r="I100" s="1">
        <v>13.97</v>
      </c>
      <c r="J100" s="1">
        <f>IF(AND(ISNUMBER(F100),ISNUMBER(H100)),ROUND(F100*(1+H100),2),"")</f>
        <v>15.09</v>
      </c>
      <c r="K100" s="2">
        <f>IF(AND(ISNUMBER(I100),I100&gt;0,ISNUMBER(J100)),J100/I100-1,"")</f>
        <v>0.08017179670722974</v>
      </c>
      <c r="L100" t="s">
        <v>38</v>
      </c>
      <c r="M100" s="1">
        <v>42.17</v>
      </c>
      <c r="N100" s="1">
        <f>IF(AND(ISNUMBER(U100),U100&gt;0,ISNUMBER(J100)),ROUND(J100/U100,2),"")</f>
        <v>45.55</v>
      </c>
      <c r="Q100" t="s">
        <v>40</v>
      </c>
      <c r="R100" t="s">
        <v>39</v>
      </c>
      <c r="S100">
        <v>689801</v>
      </c>
      <c r="T100">
        <v>689801</v>
      </c>
      <c r="U100" s="3">
        <v>0.33125</v>
      </c>
      <c r="X100" t="s">
        <v>41</v>
      </c>
      <c r="Z100" s="1">
        <v>13.97</v>
      </c>
      <c r="AA100" s="1">
        <f>IF(AND(ISNUMBER(Z100),ISNUMBER(I100),I100&gt;0,ISNUMBER(J100)),ROUND(Z100*J100/I100,2),"")</f>
        <v>15.09</v>
      </c>
      <c r="AB100" t="s">
        <v>42</v>
      </c>
      <c r="AC100" t="s">
        <v>43</v>
      </c>
      <c r="AD100" t="s">
        <v>48</v>
      </c>
      <c r="AE100" t="s">
        <v>45</v>
      </c>
    </row>
    <row r="101">
      <c r="A101">
        <v>936387</v>
      </c>
      <c r="B101">
        <v>936387</v>
      </c>
      <c r="C101" t="s">
        <v>176</v>
      </c>
      <c r="D101" t="s">
        <v>158</v>
      </c>
      <c r="E101" t="s">
        <v>161</v>
      </c>
      <c r="F101" s="1">
        <v>11.24</v>
      </c>
      <c r="G101" s="2">
        <v>0.4</v>
      </c>
      <c r="H101" s="2">
        <v>0.512</v>
      </c>
      <c r="I101" s="1">
        <v>15.74</v>
      </c>
      <c r="J101" s="1">
        <f>IF(AND(ISNUMBER(F101),ISNUMBER(H101)),ROUND(F101*(1+H101),2),"")</f>
        <v>16.99</v>
      </c>
      <c r="K101" s="2">
        <f>IF(AND(ISNUMBER(I101),I101&gt;0,ISNUMBER(J101)),J101/I101-1,"")</f>
        <v>0.07941550190597191</v>
      </c>
      <c r="L101" t="s">
        <v>38</v>
      </c>
      <c r="M101" s="1">
        <v>39.35</v>
      </c>
      <c r="N101" s="1">
        <f>IF(AND(ISNUMBER(U101),U101&gt;0,ISNUMBER(J101)),ROUND(J101/U101,2),"")</f>
        <v>42.47</v>
      </c>
      <c r="Q101" t="s">
        <v>40</v>
      </c>
      <c r="R101" t="s">
        <v>39</v>
      </c>
      <c r="S101">
        <v>689800</v>
      </c>
      <c r="T101">
        <v>689800</v>
      </c>
      <c r="U101" s="3">
        <v>0.4</v>
      </c>
      <c r="X101" t="s">
        <v>41</v>
      </c>
      <c r="Z101" s="1">
        <v>15.74</v>
      </c>
      <c r="AA101" s="1">
        <f>IF(AND(ISNUMBER(Z101),ISNUMBER(I101),I101&gt;0,ISNUMBER(J101)),ROUND(Z101*J101/I101,2),"")</f>
        <v>16.99</v>
      </c>
      <c r="AB101" t="s">
        <v>42</v>
      </c>
      <c r="AC101" t="s">
        <v>43</v>
      </c>
      <c r="AD101" t="s">
        <v>48</v>
      </c>
      <c r="AE101" t="s">
        <v>45</v>
      </c>
    </row>
    <row r="102">
      <c r="A102">
        <v>824228</v>
      </c>
      <c r="B102">
        <v>824228</v>
      </c>
      <c r="C102" t="s">
        <v>177</v>
      </c>
      <c r="D102" t="s">
        <v>158</v>
      </c>
      <c r="E102" t="s">
        <v>178</v>
      </c>
      <c r="F102" s="1">
        <v>12.98</v>
      </c>
      <c r="G102" s="2">
        <v>0.4</v>
      </c>
      <c r="H102" s="2">
        <v>0.512</v>
      </c>
      <c r="I102" s="1">
        <v>18.17</v>
      </c>
      <c r="J102" s="1">
        <f>IF(AND(ISNUMBER(F102),ISNUMBER(H102)),ROUND(F102*(1+H102),2),"")</f>
        <v>19.63</v>
      </c>
      <c r="K102" s="2">
        <f>IF(AND(ISNUMBER(I102),I102&gt;0,ISNUMBER(J102)),J102/I102-1,"")</f>
        <v>0.08035222894881655</v>
      </c>
      <c r="L102" t="s">
        <v>38</v>
      </c>
      <c r="M102" s="1">
        <v>38.76</v>
      </c>
      <c r="N102" s="1">
        <f>IF(AND(ISNUMBER(U102),U102&gt;0,ISNUMBER(J102)),ROUND(J102/U102,2),"")</f>
        <v>41.88</v>
      </c>
      <c r="Q102" t="s">
        <v>40</v>
      </c>
      <c r="R102" t="s">
        <v>39</v>
      </c>
      <c r="S102">
        <v>547711</v>
      </c>
      <c r="T102">
        <v>547711</v>
      </c>
      <c r="U102" s="3">
        <v>0.46875</v>
      </c>
      <c r="X102" t="s">
        <v>41</v>
      </c>
      <c r="Z102" s="1">
        <v>18.17</v>
      </c>
      <c r="AA102" s="1">
        <f>IF(AND(ISNUMBER(Z102),ISNUMBER(I102),I102&gt;0,ISNUMBER(J102)),ROUND(Z102*J102/I102,2),"")</f>
        <v>19.63</v>
      </c>
      <c r="AB102" t="s">
        <v>42</v>
      </c>
      <c r="AC102" t="s">
        <v>43</v>
      </c>
      <c r="AD102" t="s">
        <v>48</v>
      </c>
      <c r="AE102" t="s">
        <v>45</v>
      </c>
    </row>
    <row r="103">
      <c r="A103">
        <v>805464</v>
      </c>
      <c r="B103">
        <v>805464</v>
      </c>
      <c r="C103" t="s">
        <v>179</v>
      </c>
      <c r="D103" t="s">
        <v>158</v>
      </c>
      <c r="E103" t="s">
        <v>161</v>
      </c>
      <c r="F103" s="1">
        <v>11.24</v>
      </c>
      <c r="G103" s="2">
        <v>0.4</v>
      </c>
      <c r="H103" s="2">
        <v>0.512</v>
      </c>
      <c r="I103" s="1">
        <v>15.74</v>
      </c>
      <c r="J103" s="1">
        <f>IF(AND(ISNUMBER(F103),ISNUMBER(H103)),ROUND(F103*(1+H103),2),"")</f>
        <v>16.99</v>
      </c>
      <c r="K103" s="2">
        <f>IF(AND(ISNUMBER(I103),I103&gt;0,ISNUMBER(J103)),J103/I103-1,"")</f>
        <v>0.07941550190597191</v>
      </c>
      <c r="L103" t="s">
        <v>38</v>
      </c>
      <c r="M103" s="1">
        <v>39.35</v>
      </c>
      <c r="N103" s="1">
        <f>IF(AND(ISNUMBER(U103),U103&gt;0,ISNUMBER(J103)),ROUND(J103/U103,2),"")</f>
        <v>42.47</v>
      </c>
      <c r="Q103" t="s">
        <v>40</v>
      </c>
      <c r="R103" t="s">
        <v>39</v>
      </c>
      <c r="S103">
        <v>526468</v>
      </c>
      <c r="T103">
        <v>526468</v>
      </c>
      <c r="U103" s="3">
        <v>0.4</v>
      </c>
      <c r="X103" t="s">
        <v>41</v>
      </c>
      <c r="Z103" s="1">
        <v>15.74</v>
      </c>
      <c r="AA103" s="1">
        <f>IF(AND(ISNUMBER(Z103),ISNUMBER(I103),I103&gt;0,ISNUMBER(J103)),ROUND(Z103*J103/I103,2),"")</f>
        <v>16.99</v>
      </c>
      <c r="AB103" t="s">
        <v>42</v>
      </c>
      <c r="AC103" t="s">
        <v>43</v>
      </c>
      <c r="AD103" t="s">
        <v>48</v>
      </c>
      <c r="AE103" t="s">
        <v>45</v>
      </c>
    </row>
    <row r="104">
      <c r="A104">
        <v>842611</v>
      </c>
      <c r="B104">
        <v>842611</v>
      </c>
      <c r="C104" t="s">
        <v>180</v>
      </c>
      <c r="D104" t="s">
        <v>158</v>
      </c>
      <c r="E104" t="s">
        <v>163</v>
      </c>
      <c r="F104" s="1">
        <v>11.84</v>
      </c>
      <c r="G104" s="2">
        <v>0.4</v>
      </c>
      <c r="H104" s="2">
        <v>0.512</v>
      </c>
      <c r="I104" s="1">
        <v>16.58</v>
      </c>
      <c r="J104" s="1">
        <f>IF(AND(ISNUMBER(F104),ISNUMBER(H104)),ROUND(F104*(1+H104),2),"")</f>
        <v>17.9</v>
      </c>
      <c r="K104" s="2">
        <f>IF(AND(ISNUMBER(I104),I104&gt;0,ISNUMBER(J104)),J104/I104-1,"")</f>
        <v>0.07961399276236425</v>
      </c>
      <c r="L104" t="s">
        <v>38</v>
      </c>
      <c r="M104" s="1">
        <v>35.37</v>
      </c>
      <c r="N104" s="1">
        <f>IF(AND(ISNUMBER(U104),U104&gt;0,ISNUMBER(J104)),ROUND(J104/U104,2),"")</f>
        <v>38.19</v>
      </c>
      <c r="Q104" t="s">
        <v>40</v>
      </c>
      <c r="R104" t="s">
        <v>39</v>
      </c>
      <c r="S104">
        <v>570582</v>
      </c>
      <c r="T104">
        <v>570582</v>
      </c>
      <c r="U104" s="3">
        <v>0.46875</v>
      </c>
      <c r="X104" t="s">
        <v>41</v>
      </c>
      <c r="Z104" s="1">
        <v>16.58</v>
      </c>
      <c r="AA104" s="1">
        <f>IF(AND(ISNUMBER(Z104),ISNUMBER(I104),I104&gt;0,ISNUMBER(J104)),ROUND(Z104*J104/I104,2),"")</f>
        <v>17.9</v>
      </c>
      <c r="AB104" t="s">
        <v>42</v>
      </c>
      <c r="AC104" t="s">
        <v>43</v>
      </c>
      <c r="AD104" t="s">
        <v>48</v>
      </c>
      <c r="AE104" t="s">
        <v>45</v>
      </c>
    </row>
    <row r="105">
      <c r="A105">
        <v>866256</v>
      </c>
      <c r="B105">
        <v>866256</v>
      </c>
      <c r="C105" t="s">
        <v>181</v>
      </c>
      <c r="D105" t="s">
        <v>158</v>
      </c>
      <c r="E105" t="s">
        <v>159</v>
      </c>
      <c r="F105" s="1">
        <v>8.98</v>
      </c>
      <c r="G105" s="2">
        <v>0.4</v>
      </c>
      <c r="H105" s="2">
        <v>0.512</v>
      </c>
      <c r="I105" s="1">
        <v>12.57</v>
      </c>
      <c r="J105" s="1">
        <f>IF(AND(ISNUMBER(F105),ISNUMBER(H105)),ROUND(F105*(1+H105),2),"")</f>
        <v>13.58</v>
      </c>
      <c r="K105" s="2">
        <f>IF(AND(ISNUMBER(I105),I105&gt;0,ISNUMBER(J105)),J105/I105-1,"")</f>
        <v>0.08035003977724742</v>
      </c>
      <c r="L105" t="s">
        <v>38</v>
      </c>
      <c r="M105" s="1">
        <v>37.95</v>
      </c>
      <c r="N105" s="1">
        <f>IF(AND(ISNUMBER(U105),U105&gt;0,ISNUMBER(J105)),ROUND(J105/U105,2),"")</f>
        <v>41</v>
      </c>
      <c r="Q105" t="s">
        <v>40</v>
      </c>
      <c r="R105" t="s">
        <v>39</v>
      </c>
      <c r="S105">
        <v>596901</v>
      </c>
      <c r="T105">
        <v>596901</v>
      </c>
      <c r="U105" s="3">
        <v>0.33125</v>
      </c>
      <c r="X105" t="s">
        <v>41</v>
      </c>
      <c r="Z105" s="1">
        <v>12.57</v>
      </c>
      <c r="AA105" s="1">
        <f>IF(AND(ISNUMBER(Z105),ISNUMBER(I105),I105&gt;0,ISNUMBER(J105)),ROUND(Z105*J105/I105,2),"")</f>
        <v>13.58</v>
      </c>
      <c r="AB105" t="s">
        <v>42</v>
      </c>
      <c r="AC105" t="s">
        <v>43</v>
      </c>
      <c r="AD105" t="s">
        <v>48</v>
      </c>
      <c r="AE105" t="s">
        <v>45</v>
      </c>
    </row>
    <row r="106">
      <c r="A106">
        <v>1102434</v>
      </c>
      <c r="B106">
        <v>1102434</v>
      </c>
      <c r="C106" t="s">
        <v>182</v>
      </c>
      <c r="D106" t="s">
        <v>158</v>
      </c>
      <c r="E106" t="s">
        <v>159</v>
      </c>
      <c r="F106" s="1">
        <v>9.98</v>
      </c>
      <c r="G106" s="2">
        <v>0.6</v>
      </c>
      <c r="H106" s="2">
        <v>0.728</v>
      </c>
      <c r="I106" s="1">
        <v>15.97</v>
      </c>
      <c r="J106" s="1">
        <f>IF(AND(ISNUMBER(F106),ISNUMBER(H106)),ROUND(F106*(1+H106),2),"")</f>
        <v>17.25</v>
      </c>
      <c r="K106" s="2">
        <f>IF(AND(ISNUMBER(I106),I106&gt;0,ISNUMBER(J106)),J106/I106-1,"")</f>
        <v>0.08015028177833439</v>
      </c>
      <c r="L106" t="s">
        <v>38</v>
      </c>
      <c r="M106" s="1">
        <v>48.21</v>
      </c>
      <c r="N106" s="1">
        <f>IF(AND(ISNUMBER(U106),U106&gt;0,ISNUMBER(J106)),ROUND(J106/U106,2),"")</f>
        <v>52.08</v>
      </c>
      <c r="Q106" t="s">
        <v>40</v>
      </c>
      <c r="R106" t="s">
        <v>39</v>
      </c>
      <c r="S106">
        <v>919410</v>
      </c>
      <c r="T106">
        <v>919410</v>
      </c>
      <c r="U106" s="3">
        <v>0.33125</v>
      </c>
      <c r="X106" t="s">
        <v>41</v>
      </c>
      <c r="Z106" s="1">
        <v>15.97</v>
      </c>
      <c r="AA106" s="1">
        <f>IF(AND(ISNUMBER(Z106),ISNUMBER(I106),I106&gt;0,ISNUMBER(J106)),ROUND(Z106*J106/I106,2),"")</f>
        <v>17.25</v>
      </c>
      <c r="AB106" t="s">
        <v>42</v>
      </c>
      <c r="AC106" t="s">
        <v>134</v>
      </c>
      <c r="AD106" t="s">
        <v>48</v>
      </c>
      <c r="AE106" t="s">
        <v>45</v>
      </c>
    </row>
    <row r="107">
      <c r="A107">
        <v>1102435</v>
      </c>
      <c r="B107">
        <v>1102435</v>
      </c>
      <c r="C107" t="s">
        <v>183</v>
      </c>
      <c r="D107" t="s">
        <v>158</v>
      </c>
      <c r="E107" t="s">
        <v>161</v>
      </c>
      <c r="F107" s="1">
        <v>11.98</v>
      </c>
      <c r="G107" s="2">
        <v>0.6</v>
      </c>
      <c r="H107" s="2">
        <v>0.728</v>
      </c>
      <c r="I107" s="1">
        <v>19.17</v>
      </c>
      <c r="J107" s="1">
        <f>IF(AND(ISNUMBER(F107),ISNUMBER(H107)),ROUND(F107*(1+H107),2),"")</f>
        <v>20.7</v>
      </c>
      <c r="K107" s="2">
        <f>IF(AND(ISNUMBER(I107),I107&gt;0,ISNUMBER(J107)),J107/I107-1,"")</f>
        <v>0.07981220657276977</v>
      </c>
      <c r="L107" t="s">
        <v>38</v>
      </c>
      <c r="M107" s="1">
        <v>47.93</v>
      </c>
      <c r="N107" s="1">
        <f>IF(AND(ISNUMBER(U107),U107&gt;0,ISNUMBER(J107)),ROUND(J107/U107,2),"")</f>
        <v>51.75</v>
      </c>
      <c r="Q107" t="s">
        <v>40</v>
      </c>
      <c r="R107" t="s">
        <v>39</v>
      </c>
      <c r="S107">
        <v>919411</v>
      </c>
      <c r="T107">
        <v>919411</v>
      </c>
      <c r="U107" s="3">
        <v>0.4</v>
      </c>
      <c r="X107" t="s">
        <v>41</v>
      </c>
      <c r="Z107" s="1">
        <v>19.17</v>
      </c>
      <c r="AA107" s="1">
        <f>IF(AND(ISNUMBER(Z107),ISNUMBER(I107),I107&gt;0,ISNUMBER(J107)),ROUND(Z107*J107/I107,2),"")</f>
        <v>20.7</v>
      </c>
      <c r="AB107" t="s">
        <v>42</v>
      </c>
      <c r="AC107" t="s">
        <v>134</v>
      </c>
      <c r="AD107" t="s">
        <v>48</v>
      </c>
      <c r="AE107" t="s">
        <v>45</v>
      </c>
    </row>
    <row r="108">
      <c r="A108">
        <v>1102436</v>
      </c>
      <c r="B108">
        <v>1102436</v>
      </c>
      <c r="C108" t="s">
        <v>184</v>
      </c>
      <c r="D108" t="s">
        <v>158</v>
      </c>
      <c r="E108" t="s">
        <v>163</v>
      </c>
      <c r="F108" s="1">
        <v>12.98</v>
      </c>
      <c r="G108" s="2">
        <v>0.6</v>
      </c>
      <c r="H108" s="2">
        <v>0.728</v>
      </c>
      <c r="I108" s="1">
        <v>20.77</v>
      </c>
      <c r="J108" s="1">
        <f>IF(AND(ISNUMBER(F108),ISNUMBER(H108)),ROUND(F108*(1+H108),2),"")</f>
        <v>22.43</v>
      </c>
      <c r="K108" s="2">
        <f>IF(AND(ISNUMBER(I108),I108&gt;0,ISNUMBER(J108)),J108/I108-1,"")</f>
        <v>0.07992296581608094</v>
      </c>
      <c r="L108" t="s">
        <v>38</v>
      </c>
      <c r="M108" s="1">
        <v>44.31</v>
      </c>
      <c r="N108" s="1">
        <f>IF(AND(ISNUMBER(U108),U108&gt;0,ISNUMBER(J108)),ROUND(J108/U108,2),"")</f>
        <v>47.85</v>
      </c>
      <c r="Q108" t="s">
        <v>40</v>
      </c>
      <c r="R108" t="s">
        <v>39</v>
      </c>
      <c r="S108">
        <v>919412</v>
      </c>
      <c r="T108">
        <v>919412</v>
      </c>
      <c r="U108" s="3">
        <v>0.46875</v>
      </c>
      <c r="X108" t="s">
        <v>41</v>
      </c>
      <c r="Z108" s="1">
        <v>20.77</v>
      </c>
      <c r="AA108" s="1">
        <f>IF(AND(ISNUMBER(Z108),ISNUMBER(I108),I108&gt;0,ISNUMBER(J108)),ROUND(Z108*J108/I108,2),"")</f>
        <v>22.43</v>
      </c>
      <c r="AB108" t="s">
        <v>42</v>
      </c>
      <c r="AC108" t="s">
        <v>134</v>
      </c>
      <c r="AD108" t="s">
        <v>48</v>
      </c>
      <c r="AE108" t="s">
        <v>45</v>
      </c>
    </row>
    <row r="109">
      <c r="A109">
        <v>1015821</v>
      </c>
      <c r="B109">
        <v>1015821</v>
      </c>
      <c r="C109" t="s">
        <v>185</v>
      </c>
      <c r="D109" t="s">
        <v>158</v>
      </c>
      <c r="E109" t="s">
        <v>186</v>
      </c>
      <c r="F109" s="1">
        <v>7.31</v>
      </c>
      <c r="G109" s="2">
        <v>0.6574</v>
      </c>
      <c r="H109" s="2">
        <v>0.79</v>
      </c>
      <c r="I109" s="1">
        <v>12.12</v>
      </c>
      <c r="J109" s="1">
        <f>IF(AND(ISNUMBER(F109),ISNUMBER(H109)),ROUND(F109*(1+H109),2),"")</f>
        <v>13.08</v>
      </c>
      <c r="K109" s="2">
        <f>IF(AND(ISNUMBER(I109),I109&gt;0,ISNUMBER(J109)),J109/I109-1,"")</f>
        <v>0.07920792079207928</v>
      </c>
      <c r="L109" t="s">
        <v>38</v>
      </c>
      <c r="M109" s="1">
        <v>36.59</v>
      </c>
      <c r="N109" s="1">
        <f>IF(AND(ISNUMBER(U109),U109&gt;0,ISNUMBER(J109)),ROUND(J109/U109,2),"")</f>
        <v>39.49</v>
      </c>
      <c r="Q109" t="s">
        <v>40</v>
      </c>
      <c r="R109" t="s">
        <v>39</v>
      </c>
      <c r="S109">
        <v>800429</v>
      </c>
      <c r="T109">
        <v>800429</v>
      </c>
      <c r="U109" s="3">
        <v>0.33125</v>
      </c>
      <c r="X109" t="s">
        <v>41</v>
      </c>
      <c r="Z109" s="1">
        <v>12.12</v>
      </c>
      <c r="AA109" s="1">
        <f>IF(AND(ISNUMBER(Z109),ISNUMBER(I109),I109&gt;0,ISNUMBER(J109)),ROUND(Z109*J109/I109,2),"")</f>
        <v>13.08</v>
      </c>
      <c r="AB109" t="s">
        <v>42</v>
      </c>
      <c r="AC109" t="s">
        <v>134</v>
      </c>
      <c r="AD109" t="s">
        <v>48</v>
      </c>
      <c r="AE109" t="s">
        <v>45</v>
      </c>
    </row>
    <row r="110">
      <c r="A110">
        <v>1015823</v>
      </c>
      <c r="B110">
        <v>1015823</v>
      </c>
      <c r="C110" t="s">
        <v>187</v>
      </c>
      <c r="D110" t="s">
        <v>158</v>
      </c>
      <c r="E110" t="s">
        <v>188</v>
      </c>
      <c r="F110" s="1">
        <v>8.12</v>
      </c>
      <c r="G110" s="2">
        <v>0.6574</v>
      </c>
      <c r="H110" s="2">
        <v>0.79</v>
      </c>
      <c r="I110" s="1">
        <v>13.46</v>
      </c>
      <c r="J110" s="1">
        <f>IF(AND(ISNUMBER(F110),ISNUMBER(H110)),ROUND(F110*(1+H110),2),"")</f>
        <v>14.53</v>
      </c>
      <c r="K110" s="2">
        <f>IF(AND(ISNUMBER(I110),I110&gt;0,ISNUMBER(J110)),J110/I110-1,"")</f>
        <v>0.0794947994056463</v>
      </c>
      <c r="L110" t="s">
        <v>38</v>
      </c>
      <c r="M110" s="1">
        <v>33.65</v>
      </c>
      <c r="N110" s="1">
        <f>IF(AND(ISNUMBER(U110),U110&gt;0,ISNUMBER(J110)),ROUND(J110/U110,2),"")</f>
        <v>36.32</v>
      </c>
      <c r="Q110" t="s">
        <v>40</v>
      </c>
      <c r="R110" t="s">
        <v>39</v>
      </c>
      <c r="S110">
        <v>800431</v>
      </c>
      <c r="T110">
        <v>800431</v>
      </c>
      <c r="U110" s="3">
        <v>0.4</v>
      </c>
      <c r="X110" t="s">
        <v>41</v>
      </c>
      <c r="Z110" s="1">
        <v>13.46</v>
      </c>
      <c r="AA110" s="1">
        <f>IF(AND(ISNUMBER(Z110),ISNUMBER(I110),I110&gt;0,ISNUMBER(J110)),ROUND(Z110*J110/I110,2),"")</f>
        <v>14.53</v>
      </c>
      <c r="AB110" t="s">
        <v>42</v>
      </c>
      <c r="AC110" t="s">
        <v>134</v>
      </c>
      <c r="AD110" t="s">
        <v>48</v>
      </c>
      <c r="AE110" t="s">
        <v>45</v>
      </c>
    </row>
    <row r="111">
      <c r="A111">
        <v>805465</v>
      </c>
      <c r="B111">
        <v>805465</v>
      </c>
      <c r="C111" t="s">
        <v>189</v>
      </c>
      <c r="D111" t="s">
        <v>158</v>
      </c>
      <c r="E111" t="s">
        <v>190</v>
      </c>
      <c r="F111" s="1">
        <v>10</v>
      </c>
      <c r="G111" s="2">
        <v>0.4</v>
      </c>
      <c r="H111" s="2">
        <v>0.512</v>
      </c>
      <c r="I111" s="1">
        <v>14</v>
      </c>
      <c r="J111" s="1">
        <f>IF(AND(ISNUMBER(F111),ISNUMBER(H111)),ROUND(F111*(1+H111),2),"")</f>
        <v>15.12</v>
      </c>
      <c r="K111" s="2">
        <f>IF(AND(ISNUMBER(I111),I111&gt;0,ISNUMBER(J111)),J111/I111-1,"")</f>
        <v>0.07999999999999985</v>
      </c>
      <c r="L111" t="s">
        <v>38</v>
      </c>
      <c r="N111" s="1" t="s">
        <f>IF(AND(ISNUMBER(U111),U111&gt;0,ISNUMBER(J111)),ROUND(J111/U111,2),"")</f>
        <v>39</v>
      </c>
      <c r="Q111" t="s">
        <v>40</v>
      </c>
      <c r="R111" t="s">
        <v>39</v>
      </c>
      <c r="S111">
        <v>526469</v>
      </c>
      <c r="T111">
        <v>526469</v>
      </c>
      <c r="X111" t="s">
        <v>41</v>
      </c>
      <c r="Z111" s="1">
        <v>14</v>
      </c>
      <c r="AA111" s="1">
        <f>IF(AND(ISNUMBER(Z111),ISNUMBER(I111),I111&gt;0,ISNUMBER(J111)),ROUND(Z111*J111/I111,2),"")</f>
        <v>15.12</v>
      </c>
      <c r="AB111" t="s">
        <v>42</v>
      </c>
      <c r="AC111" t="s">
        <v>43</v>
      </c>
      <c r="AD111" t="s">
        <v>44</v>
      </c>
      <c r="AE111" t="s">
        <v>45</v>
      </c>
    </row>
    <row r="112">
      <c r="A112">
        <v>990715</v>
      </c>
      <c r="B112">
        <v>990715</v>
      </c>
      <c r="C112" t="s">
        <v>191</v>
      </c>
      <c r="D112" t="s">
        <v>158</v>
      </c>
      <c r="E112" t="s">
        <v>192</v>
      </c>
      <c r="F112" s="1">
        <v>6</v>
      </c>
      <c r="G112" s="2">
        <v>0.4</v>
      </c>
      <c r="H112" s="2">
        <v>0.512</v>
      </c>
      <c r="I112" s="1">
        <v>8.4</v>
      </c>
      <c r="J112" s="1">
        <f>IF(AND(ISNUMBER(F112),ISNUMBER(H112)),ROUND(F112*(1+H112),2),"")</f>
        <v>9.07</v>
      </c>
      <c r="K112" s="2">
        <f>IF(AND(ISNUMBER(I112),I112&gt;0,ISNUMBER(J112)),J112/I112-1,"")</f>
        <v>0.0797619047619047</v>
      </c>
      <c r="L112" t="s">
        <v>38</v>
      </c>
      <c r="N112" s="1" t="s">
        <f>IF(AND(ISNUMBER(U112),U112&gt;0,ISNUMBER(J112)),ROUND(J112/U112,2),"")</f>
        <v>39</v>
      </c>
      <c r="Q112" t="s">
        <v>40</v>
      </c>
      <c r="R112" t="s">
        <v>39</v>
      </c>
      <c r="S112">
        <v>762991</v>
      </c>
      <c r="T112">
        <v>762991</v>
      </c>
      <c r="X112" t="s">
        <v>41</v>
      </c>
      <c r="Z112" s="1">
        <v>8.4</v>
      </c>
      <c r="AA112" s="1">
        <f>IF(AND(ISNUMBER(Z112),ISNUMBER(I112),I112&gt;0,ISNUMBER(J112)),ROUND(Z112*J112/I112,2),"")</f>
        <v>9.07</v>
      </c>
      <c r="AB112" t="s">
        <v>42</v>
      </c>
      <c r="AC112" t="s">
        <v>43</v>
      </c>
      <c r="AD112" t="s">
        <v>44</v>
      </c>
      <c r="AE112" t="s">
        <v>45</v>
      </c>
    </row>
    <row r="113">
      <c r="A113">
        <v>881794</v>
      </c>
      <c r="B113">
        <v>881794</v>
      </c>
      <c r="C113" t="s">
        <v>193</v>
      </c>
      <c r="D113" t="s">
        <v>158</v>
      </c>
      <c r="E113" t="s">
        <v>194</v>
      </c>
      <c r="F113" s="1">
        <v>9</v>
      </c>
      <c r="G113" s="2">
        <v>0.66</v>
      </c>
      <c r="H113" s="2">
        <v>0.7928</v>
      </c>
      <c r="I113" s="1">
        <v>14.94</v>
      </c>
      <c r="J113" s="1">
        <f>IF(AND(ISNUMBER(F113),ISNUMBER(H113)),ROUND(F113*(1+H113),2),"")</f>
        <v>16.14</v>
      </c>
      <c r="K113" s="2">
        <f>IF(AND(ISNUMBER(I113),I113&gt;0,ISNUMBER(J113)),J113/I113-1,"")</f>
        <v>0.08032128514056236</v>
      </c>
      <c r="L113" t="s">
        <v>38</v>
      </c>
      <c r="N113" s="1" t="s">
        <f>IF(AND(ISNUMBER(U113),U113&gt;0,ISNUMBER(J113)),ROUND(J113/U113,2),"")</f>
        <v>39</v>
      </c>
      <c r="Q113" t="s">
        <v>40</v>
      </c>
      <c r="R113" t="s">
        <v>39</v>
      </c>
      <c r="S113">
        <v>618310</v>
      </c>
      <c r="T113">
        <v>618310</v>
      </c>
      <c r="X113" t="s">
        <v>41</v>
      </c>
      <c r="Z113" s="1">
        <v>14.94</v>
      </c>
      <c r="AA113" s="1">
        <f>IF(AND(ISNUMBER(Z113),ISNUMBER(I113),I113&gt;0,ISNUMBER(J113)),ROUND(Z113*J113/I113,2),"")</f>
        <v>16.14</v>
      </c>
      <c r="AB113" t="s">
        <v>42</v>
      </c>
      <c r="AC113" t="s">
        <v>134</v>
      </c>
      <c r="AD113" t="s">
        <v>44</v>
      </c>
      <c r="AE113" t="s">
        <v>45</v>
      </c>
    </row>
    <row r="114">
      <c r="A114">
        <v>836358</v>
      </c>
      <c r="B114">
        <v>836358</v>
      </c>
      <c r="C114" t="s">
        <v>195</v>
      </c>
      <c r="D114" t="s">
        <v>158</v>
      </c>
      <c r="E114" t="s">
        <v>159</v>
      </c>
      <c r="F114" s="1">
        <v>8.98</v>
      </c>
      <c r="G114" s="2">
        <v>0.4</v>
      </c>
      <c r="H114" s="2">
        <v>0.512</v>
      </c>
      <c r="I114" s="1">
        <v>12.57</v>
      </c>
      <c r="J114" s="1">
        <f>IF(AND(ISNUMBER(F114),ISNUMBER(H114)),ROUND(F114*(1+H114),2),"")</f>
        <v>13.58</v>
      </c>
      <c r="K114" s="2">
        <f>IF(AND(ISNUMBER(I114),I114&gt;0,ISNUMBER(J114)),J114/I114-1,"")</f>
        <v>0.08035003977724742</v>
      </c>
      <c r="L114" t="s">
        <v>38</v>
      </c>
      <c r="M114" s="1">
        <v>37.95</v>
      </c>
      <c r="N114" s="1">
        <f>IF(AND(ISNUMBER(U114),U114&gt;0,ISNUMBER(J114)),ROUND(J114/U114,2),"")</f>
        <v>41</v>
      </c>
      <c r="Q114" t="s">
        <v>40</v>
      </c>
      <c r="R114" t="s">
        <v>39</v>
      </c>
      <c r="S114">
        <v>562940</v>
      </c>
      <c r="T114">
        <v>562940</v>
      </c>
      <c r="U114" s="3">
        <v>0.33125</v>
      </c>
      <c r="X114" t="s">
        <v>41</v>
      </c>
      <c r="Z114" s="1">
        <v>12.57</v>
      </c>
      <c r="AA114" s="1">
        <f>IF(AND(ISNUMBER(Z114),ISNUMBER(I114),I114&gt;0,ISNUMBER(J114)),ROUND(Z114*J114/I114,2),"")</f>
        <v>13.58</v>
      </c>
      <c r="AB114" t="s">
        <v>42</v>
      </c>
      <c r="AC114" t="s">
        <v>43</v>
      </c>
      <c r="AD114" t="s">
        <v>48</v>
      </c>
      <c r="AE114" t="s">
        <v>45</v>
      </c>
    </row>
    <row r="115">
      <c r="A115">
        <v>867239</v>
      </c>
      <c r="B115">
        <v>867239</v>
      </c>
      <c r="C115" t="s">
        <v>196</v>
      </c>
      <c r="D115" t="s">
        <v>158</v>
      </c>
      <c r="E115" t="s">
        <v>197</v>
      </c>
      <c r="F115" s="1">
        <v>11.24</v>
      </c>
      <c r="G115" s="2">
        <v>0.4</v>
      </c>
      <c r="H115" s="2">
        <v>0.512</v>
      </c>
      <c r="I115" s="1">
        <v>15.74</v>
      </c>
      <c r="J115" s="1">
        <f>IF(AND(ISNUMBER(F115),ISNUMBER(H115)),ROUND(F115*(1+H115),2),"")</f>
        <v>16.99</v>
      </c>
      <c r="K115" s="2">
        <f>IF(AND(ISNUMBER(I115),I115&gt;0,ISNUMBER(J115)),J115/I115-1,"")</f>
        <v>0.07941550190597191</v>
      </c>
      <c r="L115" t="s">
        <v>38</v>
      </c>
      <c r="M115" s="1">
        <v>39.35</v>
      </c>
      <c r="N115" s="1">
        <f>IF(AND(ISNUMBER(U115),U115&gt;0,ISNUMBER(J115)),ROUND(J115/U115,2),"")</f>
        <v>42.47</v>
      </c>
      <c r="Q115" t="s">
        <v>40</v>
      </c>
      <c r="R115" t="s">
        <v>39</v>
      </c>
      <c r="S115">
        <v>598138</v>
      </c>
      <c r="T115">
        <v>598138</v>
      </c>
      <c r="U115" s="3">
        <v>0.4</v>
      </c>
      <c r="X115" t="s">
        <v>41</v>
      </c>
      <c r="Z115" s="1">
        <v>15.74</v>
      </c>
      <c r="AA115" s="1">
        <f>IF(AND(ISNUMBER(Z115),ISNUMBER(I115),I115&gt;0,ISNUMBER(J115)),ROUND(Z115*J115/I115,2),"")</f>
        <v>16.99</v>
      </c>
      <c r="AB115" t="s">
        <v>42</v>
      </c>
      <c r="AC115" t="s">
        <v>43</v>
      </c>
      <c r="AD115" t="s">
        <v>48</v>
      </c>
      <c r="AE115" t="s">
        <v>45</v>
      </c>
    </row>
    <row r="116">
      <c r="A116">
        <v>805466</v>
      </c>
      <c r="B116">
        <v>805466</v>
      </c>
      <c r="C116" t="s">
        <v>198</v>
      </c>
      <c r="D116" t="s">
        <v>158</v>
      </c>
      <c r="E116" t="s">
        <v>163</v>
      </c>
      <c r="F116" s="1">
        <v>11.84</v>
      </c>
      <c r="G116" s="2">
        <v>0.4</v>
      </c>
      <c r="H116" s="2">
        <v>0.512</v>
      </c>
      <c r="I116" s="1">
        <v>16.58</v>
      </c>
      <c r="J116" s="1">
        <f>IF(AND(ISNUMBER(F116),ISNUMBER(H116)),ROUND(F116*(1+H116),2),"")</f>
        <v>17.9</v>
      </c>
      <c r="K116" s="2">
        <f>IF(AND(ISNUMBER(I116),I116&gt;0,ISNUMBER(J116)),J116/I116-1,"")</f>
        <v>0.07961399276236425</v>
      </c>
      <c r="L116" t="s">
        <v>38</v>
      </c>
      <c r="M116" s="1">
        <v>35.37</v>
      </c>
      <c r="N116" s="1">
        <f>IF(AND(ISNUMBER(U116),U116&gt;0,ISNUMBER(J116)),ROUND(J116/U116,2),"")</f>
        <v>38.19</v>
      </c>
      <c r="Q116" t="s">
        <v>40</v>
      </c>
      <c r="R116" t="s">
        <v>39</v>
      </c>
      <c r="S116">
        <v>526471</v>
      </c>
      <c r="T116">
        <v>526471</v>
      </c>
      <c r="U116" s="3">
        <v>0.46875</v>
      </c>
      <c r="X116" t="s">
        <v>41</v>
      </c>
      <c r="Z116" s="1">
        <v>16.58</v>
      </c>
      <c r="AA116" s="1">
        <f>IF(AND(ISNUMBER(Z116),ISNUMBER(I116),I116&gt;0,ISNUMBER(J116)),ROUND(Z116*J116/I116,2),"")</f>
        <v>17.9</v>
      </c>
      <c r="AB116" t="s">
        <v>42</v>
      </c>
      <c r="AC116" t="s">
        <v>43</v>
      </c>
      <c r="AD116" t="s">
        <v>48</v>
      </c>
      <c r="AE116" t="s">
        <v>45</v>
      </c>
    </row>
    <row r="117">
      <c r="A117">
        <v>1036758</v>
      </c>
      <c r="B117">
        <v>1036758</v>
      </c>
      <c r="C117" t="s">
        <v>199</v>
      </c>
      <c r="D117" t="s">
        <v>158</v>
      </c>
      <c r="E117" t="s">
        <v>200</v>
      </c>
      <c r="F117" s="1">
        <v>11.98</v>
      </c>
      <c r="G117" s="2">
        <v>0.4</v>
      </c>
      <c r="H117" s="2">
        <v>0.512</v>
      </c>
      <c r="I117" s="1">
        <v>16.77</v>
      </c>
      <c r="J117" s="1">
        <f>IF(AND(ISNUMBER(F117),ISNUMBER(H117)),ROUND(F117*(1+H117),2),"")</f>
        <v>18.11</v>
      </c>
      <c r="K117" s="2">
        <f>IF(AND(ISNUMBER(I117),I117&gt;0,ISNUMBER(J117)),J117/I117-1,"")</f>
        <v>0.07990459153249851</v>
      </c>
      <c r="L117" t="s">
        <v>38</v>
      </c>
      <c r="M117" s="1">
        <v>41.92</v>
      </c>
      <c r="N117" s="1">
        <f>IF(AND(ISNUMBER(U117),U117&gt;0,ISNUMBER(J117)),ROUND(J117/U117,2),"")</f>
        <v>45.27</v>
      </c>
      <c r="Q117" t="s">
        <v>40</v>
      </c>
      <c r="R117" t="s">
        <v>39</v>
      </c>
      <c r="S117">
        <v>834422</v>
      </c>
      <c r="T117">
        <v>834422</v>
      </c>
      <c r="U117" s="3">
        <v>0.4</v>
      </c>
      <c r="X117" t="s">
        <v>41</v>
      </c>
      <c r="Z117" s="1">
        <v>16.77</v>
      </c>
      <c r="AA117" s="1">
        <f>IF(AND(ISNUMBER(Z117),ISNUMBER(I117),I117&gt;0,ISNUMBER(J117)),ROUND(Z117*J117/I117,2),"")</f>
        <v>18.11</v>
      </c>
      <c r="AB117" t="s">
        <v>42</v>
      </c>
      <c r="AC117" t="s">
        <v>43</v>
      </c>
      <c r="AD117" t="s">
        <v>48</v>
      </c>
      <c r="AE117" t="s">
        <v>45</v>
      </c>
    </row>
    <row r="118">
      <c r="A118">
        <v>1036759</v>
      </c>
      <c r="B118">
        <v>1036759</v>
      </c>
      <c r="C118" t="s">
        <v>201</v>
      </c>
      <c r="D118" t="s">
        <v>158</v>
      </c>
      <c r="E118" t="s">
        <v>163</v>
      </c>
      <c r="F118" s="1">
        <v>12.98</v>
      </c>
      <c r="G118" s="2">
        <v>0.4</v>
      </c>
      <c r="H118" s="2">
        <v>0.512</v>
      </c>
      <c r="I118" s="1">
        <v>18.17</v>
      </c>
      <c r="J118" s="1">
        <f>IF(AND(ISNUMBER(F118),ISNUMBER(H118)),ROUND(F118*(1+H118),2),"")</f>
        <v>19.63</v>
      </c>
      <c r="K118" s="2">
        <f>IF(AND(ISNUMBER(I118),I118&gt;0,ISNUMBER(J118)),J118/I118-1,"")</f>
        <v>0.08035222894881655</v>
      </c>
      <c r="L118" t="s">
        <v>38</v>
      </c>
      <c r="M118" s="1">
        <v>38.76</v>
      </c>
      <c r="N118" s="1">
        <f>IF(AND(ISNUMBER(U118),U118&gt;0,ISNUMBER(J118)),ROUND(J118/U118,2),"")</f>
        <v>41.88</v>
      </c>
      <c r="Q118" t="s">
        <v>40</v>
      </c>
      <c r="R118" t="s">
        <v>39</v>
      </c>
      <c r="S118">
        <v>834423</v>
      </c>
      <c r="T118">
        <v>834423</v>
      </c>
      <c r="U118" s="3">
        <v>0.46875</v>
      </c>
      <c r="X118" t="s">
        <v>41</v>
      </c>
      <c r="Z118" s="1">
        <v>18.17</v>
      </c>
      <c r="AA118" s="1">
        <f>IF(AND(ISNUMBER(Z118),ISNUMBER(I118),I118&gt;0,ISNUMBER(J118)),ROUND(Z118*J118/I118,2),"")</f>
        <v>19.63</v>
      </c>
      <c r="AB118" t="s">
        <v>42</v>
      </c>
      <c r="AC118" t="s">
        <v>43</v>
      </c>
      <c r="AD118" t="s">
        <v>48</v>
      </c>
      <c r="AE118" t="s">
        <v>45</v>
      </c>
    </row>
    <row r="119">
      <c r="A119">
        <v>805469</v>
      </c>
      <c r="B119">
        <v>805469</v>
      </c>
      <c r="C119" t="s">
        <v>202</v>
      </c>
      <c r="D119" t="s">
        <v>158</v>
      </c>
      <c r="E119" t="s">
        <v>159</v>
      </c>
      <c r="F119" s="1">
        <v>9.98</v>
      </c>
      <c r="G119" s="2">
        <v>0.4</v>
      </c>
      <c r="H119" s="2">
        <v>0.512</v>
      </c>
      <c r="I119" s="1">
        <v>13.97</v>
      </c>
      <c r="J119" s="1">
        <f>IF(AND(ISNUMBER(F119),ISNUMBER(H119)),ROUND(F119*(1+H119),2),"")</f>
        <v>15.09</v>
      </c>
      <c r="K119" s="2">
        <f>IF(AND(ISNUMBER(I119),I119&gt;0,ISNUMBER(J119)),J119/I119-1,"")</f>
        <v>0.08017179670722974</v>
      </c>
      <c r="L119" t="s">
        <v>38</v>
      </c>
      <c r="M119" s="1">
        <v>42.17</v>
      </c>
      <c r="N119" s="1">
        <f>IF(AND(ISNUMBER(U119),U119&gt;0,ISNUMBER(J119)),ROUND(J119/U119,2),"")</f>
        <v>45.55</v>
      </c>
      <c r="Q119" t="s">
        <v>40</v>
      </c>
      <c r="R119" t="s">
        <v>39</v>
      </c>
      <c r="S119">
        <v>526475</v>
      </c>
      <c r="T119">
        <v>526475</v>
      </c>
      <c r="U119" s="3">
        <v>0.33125</v>
      </c>
      <c r="X119" t="s">
        <v>41</v>
      </c>
      <c r="Z119" s="1">
        <v>13.97</v>
      </c>
      <c r="AA119" s="1">
        <f>IF(AND(ISNUMBER(Z119),ISNUMBER(I119),I119&gt;0,ISNUMBER(J119)),ROUND(Z119*J119/I119,2),"")</f>
        <v>15.09</v>
      </c>
      <c r="AB119" t="s">
        <v>42</v>
      </c>
      <c r="AC119" t="s">
        <v>43</v>
      </c>
      <c r="AD119" t="s">
        <v>48</v>
      </c>
      <c r="AE119" t="s">
        <v>45</v>
      </c>
    </row>
    <row r="120">
      <c r="A120">
        <v>1102437</v>
      </c>
      <c r="B120">
        <v>1102437</v>
      </c>
      <c r="C120" t="s">
        <v>203</v>
      </c>
      <c r="D120" t="s">
        <v>158</v>
      </c>
      <c r="E120" t="s">
        <v>159</v>
      </c>
      <c r="F120" s="1">
        <v>8.98</v>
      </c>
      <c r="G120" s="2">
        <v>0.4</v>
      </c>
      <c r="H120" s="2">
        <v>0.512</v>
      </c>
      <c r="I120" s="1">
        <v>12.57</v>
      </c>
      <c r="J120" s="1">
        <f>IF(AND(ISNUMBER(F120),ISNUMBER(H120)),ROUND(F120*(1+H120),2),"")</f>
        <v>13.58</v>
      </c>
      <c r="K120" s="2">
        <f>IF(AND(ISNUMBER(I120),I120&gt;0,ISNUMBER(J120)),J120/I120-1,"")</f>
        <v>0.08035003977724742</v>
      </c>
      <c r="L120" t="s">
        <v>38</v>
      </c>
      <c r="M120" s="1">
        <v>37.95</v>
      </c>
      <c r="N120" s="1">
        <f>IF(AND(ISNUMBER(U120),U120&gt;0,ISNUMBER(J120)),ROUND(J120/U120,2),"")</f>
        <v>41</v>
      </c>
      <c r="Q120" t="s">
        <v>40</v>
      </c>
      <c r="R120" t="s">
        <v>39</v>
      </c>
      <c r="S120">
        <v>919416</v>
      </c>
      <c r="T120">
        <v>919416</v>
      </c>
      <c r="U120" s="3">
        <v>0.33125</v>
      </c>
      <c r="X120" t="s">
        <v>41</v>
      </c>
      <c r="Z120" s="1">
        <v>12.57</v>
      </c>
      <c r="AA120" s="1">
        <f>IF(AND(ISNUMBER(Z120),ISNUMBER(I120),I120&gt;0,ISNUMBER(J120)),ROUND(Z120*J120/I120,2),"")</f>
        <v>13.58</v>
      </c>
      <c r="AB120" t="s">
        <v>42</v>
      </c>
      <c r="AC120" t="s">
        <v>43</v>
      </c>
      <c r="AD120" t="s">
        <v>48</v>
      </c>
      <c r="AE120" t="s">
        <v>45</v>
      </c>
    </row>
    <row r="121">
      <c r="A121">
        <v>1102438</v>
      </c>
      <c r="B121">
        <v>1102438</v>
      </c>
      <c r="C121" t="s">
        <v>204</v>
      </c>
      <c r="D121" t="s">
        <v>158</v>
      </c>
      <c r="E121" t="s">
        <v>200</v>
      </c>
      <c r="F121" s="1">
        <v>11.24</v>
      </c>
      <c r="G121" s="2">
        <v>0.4</v>
      </c>
      <c r="H121" s="2">
        <v>0.512</v>
      </c>
      <c r="I121" s="1">
        <v>15.74</v>
      </c>
      <c r="J121" s="1">
        <f>IF(AND(ISNUMBER(F121),ISNUMBER(H121)),ROUND(F121*(1+H121),2),"")</f>
        <v>16.99</v>
      </c>
      <c r="K121" s="2">
        <f>IF(AND(ISNUMBER(I121),I121&gt;0,ISNUMBER(J121)),J121/I121-1,"")</f>
        <v>0.07941550190597191</v>
      </c>
      <c r="L121" t="s">
        <v>38</v>
      </c>
      <c r="M121" s="1">
        <v>39.35</v>
      </c>
      <c r="N121" s="1">
        <f>IF(AND(ISNUMBER(U121),U121&gt;0,ISNUMBER(J121)),ROUND(J121/U121,2),"")</f>
        <v>42.47</v>
      </c>
      <c r="Q121" t="s">
        <v>40</v>
      </c>
      <c r="R121" t="s">
        <v>39</v>
      </c>
      <c r="S121">
        <v>919417</v>
      </c>
      <c r="T121">
        <v>919417</v>
      </c>
      <c r="U121" s="3">
        <v>0.4</v>
      </c>
      <c r="X121" t="s">
        <v>41</v>
      </c>
      <c r="Z121" s="1">
        <v>15.74</v>
      </c>
      <c r="AA121" s="1">
        <f>IF(AND(ISNUMBER(Z121),ISNUMBER(I121),I121&gt;0,ISNUMBER(J121)),ROUND(Z121*J121/I121,2),"")</f>
        <v>16.99</v>
      </c>
      <c r="AB121" t="s">
        <v>42</v>
      </c>
      <c r="AC121" t="s">
        <v>43</v>
      </c>
      <c r="AD121" t="s">
        <v>48</v>
      </c>
      <c r="AE121" t="s">
        <v>45</v>
      </c>
    </row>
    <row r="122">
      <c r="A122">
        <v>1102439</v>
      </c>
      <c r="B122">
        <v>1102439</v>
      </c>
      <c r="C122" t="s">
        <v>205</v>
      </c>
      <c r="D122" t="s">
        <v>158</v>
      </c>
      <c r="E122" t="s">
        <v>163</v>
      </c>
      <c r="F122" s="1">
        <v>11.84</v>
      </c>
      <c r="G122" s="2">
        <v>0.4</v>
      </c>
      <c r="H122" s="2">
        <v>0.512</v>
      </c>
      <c r="I122" s="1">
        <v>16.58</v>
      </c>
      <c r="J122" s="1">
        <f>IF(AND(ISNUMBER(F122),ISNUMBER(H122)),ROUND(F122*(1+H122),2),"")</f>
        <v>17.9</v>
      </c>
      <c r="K122" s="2">
        <f>IF(AND(ISNUMBER(I122),I122&gt;0,ISNUMBER(J122)),J122/I122-1,"")</f>
        <v>0.07961399276236425</v>
      </c>
      <c r="L122" t="s">
        <v>38</v>
      </c>
      <c r="M122" s="1">
        <v>35.37</v>
      </c>
      <c r="N122" s="1">
        <f>IF(AND(ISNUMBER(U122),U122&gt;0,ISNUMBER(J122)),ROUND(J122/U122,2),"")</f>
        <v>38.19</v>
      </c>
      <c r="Q122" t="s">
        <v>40</v>
      </c>
      <c r="R122" t="s">
        <v>39</v>
      </c>
      <c r="S122">
        <v>919418</v>
      </c>
      <c r="T122">
        <v>919418</v>
      </c>
      <c r="U122" s="3">
        <v>0.46875</v>
      </c>
      <c r="X122" t="s">
        <v>41</v>
      </c>
      <c r="Z122" s="1">
        <v>16.58</v>
      </c>
      <c r="AA122" s="1">
        <f>IF(AND(ISNUMBER(Z122),ISNUMBER(I122),I122&gt;0,ISNUMBER(J122)),ROUND(Z122*J122/I122,2),"")</f>
        <v>17.9</v>
      </c>
      <c r="AB122" t="s">
        <v>42</v>
      </c>
      <c r="AC122" t="s">
        <v>43</v>
      </c>
      <c r="AD122" t="s">
        <v>48</v>
      </c>
      <c r="AE122" t="s">
        <v>45</v>
      </c>
    </row>
    <row r="123">
      <c r="A123">
        <v>805461</v>
      </c>
      <c r="B123">
        <v>805461</v>
      </c>
      <c r="C123" t="s">
        <v>206</v>
      </c>
      <c r="D123" t="s">
        <v>158</v>
      </c>
      <c r="E123" t="s">
        <v>207</v>
      </c>
      <c r="F123" s="1">
        <v>15</v>
      </c>
      <c r="G123" s="2">
        <v>0.4</v>
      </c>
      <c r="H123" s="2">
        <v>0.512</v>
      </c>
      <c r="I123" s="1">
        <v>21</v>
      </c>
      <c r="J123" s="1">
        <f>IF(AND(ISNUMBER(F123),ISNUMBER(H123)),ROUND(F123*(1+H123),2),"")</f>
        <v>22.68</v>
      </c>
      <c r="K123" s="2">
        <f>IF(AND(ISNUMBER(I123),I123&gt;0,ISNUMBER(J123)),J123/I123-1,"")</f>
        <v>0.08000000000000007</v>
      </c>
      <c r="L123" t="s">
        <v>38</v>
      </c>
      <c r="N123" s="1" t="s">
        <f>IF(AND(ISNUMBER(U123),U123&gt;0,ISNUMBER(J123)),ROUND(J123/U123,2),"")</f>
        <v>39</v>
      </c>
      <c r="Q123" t="s">
        <v>40</v>
      </c>
      <c r="R123" t="s">
        <v>39</v>
      </c>
      <c r="S123">
        <v>526465</v>
      </c>
      <c r="T123">
        <v>526465</v>
      </c>
      <c r="X123" t="s">
        <v>41</v>
      </c>
      <c r="Z123" s="1">
        <v>21</v>
      </c>
      <c r="AA123" s="1">
        <f>IF(AND(ISNUMBER(Z123),ISNUMBER(I123),I123&gt;0,ISNUMBER(J123)),ROUND(Z123*J123/I123,2),"")</f>
        <v>22.68</v>
      </c>
      <c r="AB123" t="s">
        <v>42</v>
      </c>
      <c r="AC123" t="s">
        <v>43</v>
      </c>
      <c r="AD123" t="s">
        <v>44</v>
      </c>
      <c r="AE123" t="s">
        <v>45</v>
      </c>
    </row>
    <row r="124">
      <c r="A124">
        <v>805470</v>
      </c>
      <c r="B124">
        <v>805470</v>
      </c>
      <c r="C124" t="s">
        <v>208</v>
      </c>
      <c r="D124" t="s">
        <v>158</v>
      </c>
      <c r="E124" t="s">
        <v>209</v>
      </c>
      <c r="F124" s="1">
        <v>14</v>
      </c>
      <c r="G124" s="2">
        <v>0.4</v>
      </c>
      <c r="H124" s="2">
        <v>0.512</v>
      </c>
      <c r="I124" s="1">
        <v>19.6</v>
      </c>
      <c r="J124" s="1">
        <f>IF(AND(ISNUMBER(F124),ISNUMBER(H124)),ROUND(F124*(1+H124),2),"")</f>
        <v>21.17</v>
      </c>
      <c r="K124" s="2">
        <f>IF(AND(ISNUMBER(I124),I124&gt;0,ISNUMBER(J124)),J124/I124-1,"")</f>
        <v>0.08010204081632644</v>
      </c>
      <c r="L124" t="s">
        <v>38</v>
      </c>
      <c r="M124" s="1">
        <v>39.2</v>
      </c>
      <c r="N124" s="1">
        <f>IF(AND(ISNUMBER(U124),U124&gt;0,ISNUMBER(J124)),ROUND(J124/U124,2),"")</f>
        <v>42.34</v>
      </c>
      <c r="Q124" t="s">
        <v>40</v>
      </c>
      <c r="R124" t="s">
        <v>39</v>
      </c>
      <c r="S124">
        <v>526476</v>
      </c>
      <c r="T124">
        <v>526476</v>
      </c>
      <c r="U124" s="3">
        <v>0.5</v>
      </c>
      <c r="X124" t="s">
        <v>41</v>
      </c>
      <c r="Z124" s="1">
        <v>19.6</v>
      </c>
      <c r="AA124" s="1">
        <f>IF(AND(ISNUMBER(Z124),ISNUMBER(I124),I124&gt;0,ISNUMBER(J124)),ROUND(Z124*J124/I124,2),"")</f>
        <v>21.17</v>
      </c>
      <c r="AB124" t="s">
        <v>42</v>
      </c>
      <c r="AC124" t="s">
        <v>43</v>
      </c>
      <c r="AD124" t="s">
        <v>44</v>
      </c>
      <c r="AE124" t="s">
        <v>45</v>
      </c>
    </row>
    <row r="125">
      <c r="A125">
        <v>805471</v>
      </c>
      <c r="B125">
        <v>805471</v>
      </c>
      <c r="C125" t="s">
        <v>210</v>
      </c>
      <c r="D125" t="s">
        <v>158</v>
      </c>
      <c r="E125" t="s">
        <v>190</v>
      </c>
      <c r="F125" s="1">
        <v>11</v>
      </c>
      <c r="G125" s="2">
        <v>0.364</v>
      </c>
      <c r="H125" s="2">
        <v>0.4731</v>
      </c>
      <c r="I125" s="1">
        <v>15</v>
      </c>
      <c r="J125" s="1">
        <f>IF(AND(ISNUMBER(F125),ISNUMBER(H125)),ROUND(F125*(1+H125),2),"")</f>
        <v>16.2</v>
      </c>
      <c r="K125" s="2">
        <f>IF(AND(ISNUMBER(I125),I125&gt;0,ISNUMBER(J125)),J125/I125-1,"")</f>
        <v>0.07999999999999985</v>
      </c>
      <c r="L125" t="s">
        <v>38</v>
      </c>
      <c r="N125" s="1" t="s">
        <f>IF(AND(ISNUMBER(U125),U125&gt;0,ISNUMBER(J125)),ROUND(J125/U125,2),"")</f>
        <v>39</v>
      </c>
      <c r="Q125" t="s">
        <v>40</v>
      </c>
      <c r="R125" t="s">
        <v>39</v>
      </c>
      <c r="S125">
        <v>526477</v>
      </c>
      <c r="T125">
        <v>526477</v>
      </c>
      <c r="X125" t="s">
        <v>41</v>
      </c>
      <c r="Z125" s="1">
        <v>15</v>
      </c>
      <c r="AA125" s="1">
        <f>IF(AND(ISNUMBER(Z125),ISNUMBER(I125),I125&gt;0,ISNUMBER(J125)),ROUND(Z125*J125/I125,2),"")</f>
        <v>16.2</v>
      </c>
      <c r="AB125" t="s">
        <v>42</v>
      </c>
      <c r="AC125" t="s">
        <v>134</v>
      </c>
      <c r="AD125" t="s">
        <v>44</v>
      </c>
      <c r="AE125" t="s">
        <v>45</v>
      </c>
    </row>
    <row r="126">
      <c r="A126">
        <v>805472</v>
      </c>
      <c r="B126">
        <v>805472</v>
      </c>
      <c r="C126" t="s">
        <v>211</v>
      </c>
      <c r="D126" t="s">
        <v>158</v>
      </c>
      <c r="E126" t="s">
        <v>212</v>
      </c>
      <c r="F126" s="1">
        <v>10</v>
      </c>
      <c r="G126" s="2">
        <v>0.4</v>
      </c>
      <c r="H126" s="2">
        <v>0.512</v>
      </c>
      <c r="I126" s="1">
        <v>14</v>
      </c>
      <c r="J126" s="1">
        <f>IF(AND(ISNUMBER(F126),ISNUMBER(H126)),ROUND(F126*(1+H126),2),"")</f>
        <v>15.12</v>
      </c>
      <c r="K126" s="2">
        <f>IF(AND(ISNUMBER(I126),I126&gt;0,ISNUMBER(J126)),J126/I126-1,"")</f>
        <v>0.07999999999999985</v>
      </c>
      <c r="L126" t="s">
        <v>38</v>
      </c>
      <c r="M126" s="1">
        <v>18.67</v>
      </c>
      <c r="N126" s="1">
        <f>IF(AND(ISNUMBER(U126),U126&gt;0,ISNUMBER(J126)),ROUND(J126/U126,2),"")</f>
        <v>20.16</v>
      </c>
      <c r="Q126" t="s">
        <v>40</v>
      </c>
      <c r="R126" t="s">
        <v>39</v>
      </c>
      <c r="S126">
        <v>526478</v>
      </c>
      <c r="T126">
        <v>526478</v>
      </c>
      <c r="U126" s="3">
        <v>0.75</v>
      </c>
      <c r="X126" t="s">
        <v>41</v>
      </c>
      <c r="Z126" s="1">
        <v>14</v>
      </c>
      <c r="AA126" s="1">
        <f>IF(AND(ISNUMBER(Z126),ISNUMBER(I126),I126&gt;0,ISNUMBER(J126)),ROUND(Z126*J126/I126,2),"")</f>
        <v>15.12</v>
      </c>
      <c r="AB126" t="s">
        <v>42</v>
      </c>
      <c r="AC126" t="s">
        <v>43</v>
      </c>
      <c r="AD126" t="s">
        <v>44</v>
      </c>
      <c r="AE126" t="s">
        <v>45</v>
      </c>
    </row>
    <row r="127">
      <c r="A127">
        <v>805473</v>
      </c>
      <c r="B127">
        <v>805473</v>
      </c>
      <c r="C127" t="s">
        <v>213</v>
      </c>
      <c r="D127" t="s">
        <v>158</v>
      </c>
      <c r="E127" t="s">
        <v>194</v>
      </c>
      <c r="F127" s="1">
        <v>10</v>
      </c>
      <c r="G127" s="2">
        <v>0.4</v>
      </c>
      <c r="H127" s="2">
        <v>0.512</v>
      </c>
      <c r="I127" s="1">
        <v>14</v>
      </c>
      <c r="J127" s="1">
        <f>IF(AND(ISNUMBER(F127),ISNUMBER(H127)),ROUND(F127*(1+H127),2),"")</f>
        <v>15.12</v>
      </c>
      <c r="K127" s="2">
        <f>IF(AND(ISNUMBER(I127),I127&gt;0,ISNUMBER(J127)),J127/I127-1,"")</f>
        <v>0.07999999999999985</v>
      </c>
      <c r="L127" t="s">
        <v>38</v>
      </c>
      <c r="N127" s="1" t="s">
        <f>IF(AND(ISNUMBER(U127),U127&gt;0,ISNUMBER(J127)),ROUND(J127/U127,2),"")</f>
        <v>39</v>
      </c>
      <c r="Q127" t="s">
        <v>40</v>
      </c>
      <c r="R127" t="s">
        <v>39</v>
      </c>
      <c r="S127">
        <v>526479</v>
      </c>
      <c r="T127">
        <v>526479</v>
      </c>
      <c r="X127" t="s">
        <v>41</v>
      </c>
      <c r="Z127" s="1">
        <v>14</v>
      </c>
      <c r="AA127" s="1">
        <f>IF(AND(ISNUMBER(Z127),ISNUMBER(I127),I127&gt;0,ISNUMBER(J127)),ROUND(Z127*J127/I127,2),"")</f>
        <v>15.12</v>
      </c>
      <c r="AB127" t="s">
        <v>42</v>
      </c>
      <c r="AC127" t="s">
        <v>43</v>
      </c>
      <c r="AD127" t="s">
        <v>44</v>
      </c>
      <c r="AE127" t="s">
        <v>45</v>
      </c>
    </row>
    <row r="128">
      <c r="A128">
        <v>805474</v>
      </c>
      <c r="B128">
        <v>805474</v>
      </c>
      <c r="C128" t="s">
        <v>214</v>
      </c>
      <c r="D128" t="s">
        <v>158</v>
      </c>
      <c r="E128" t="s">
        <v>207</v>
      </c>
      <c r="F128" s="1">
        <v>10</v>
      </c>
      <c r="G128" s="2">
        <v>0.5</v>
      </c>
      <c r="H128" s="2">
        <v>0.62</v>
      </c>
      <c r="I128" s="1">
        <v>15</v>
      </c>
      <c r="J128" s="1">
        <f>IF(AND(ISNUMBER(F128),ISNUMBER(H128)),ROUND(F128*(1+H128),2),"")</f>
        <v>16.2</v>
      </c>
      <c r="K128" s="2">
        <f>IF(AND(ISNUMBER(I128),I128&gt;0,ISNUMBER(J128)),J128/I128-1,"")</f>
        <v>0.07999999999999985</v>
      </c>
      <c r="L128" t="s">
        <v>38</v>
      </c>
      <c r="N128" s="1" t="s">
        <f>IF(AND(ISNUMBER(U128),U128&gt;0,ISNUMBER(J128)),ROUND(J128/U128,2),"")</f>
        <v>39</v>
      </c>
      <c r="Q128" t="s">
        <v>40</v>
      </c>
      <c r="R128" t="s">
        <v>39</v>
      </c>
      <c r="S128">
        <v>526481</v>
      </c>
      <c r="T128">
        <v>526481</v>
      </c>
      <c r="X128" t="s">
        <v>41</v>
      </c>
      <c r="Z128" s="1">
        <v>15</v>
      </c>
      <c r="AA128" s="1">
        <f>IF(AND(ISNUMBER(Z128),ISNUMBER(I128),I128&gt;0,ISNUMBER(J128)),ROUND(Z128*J128/I128,2),"")</f>
        <v>16.2</v>
      </c>
      <c r="AB128" t="s">
        <v>42</v>
      </c>
      <c r="AC128" t="s">
        <v>134</v>
      </c>
      <c r="AD128" t="s">
        <v>44</v>
      </c>
      <c r="AE128" t="s">
        <v>45</v>
      </c>
    </row>
    <row r="129">
      <c r="A129">
        <v>990712</v>
      </c>
      <c r="B129">
        <v>990712</v>
      </c>
      <c r="C129" t="s">
        <v>215</v>
      </c>
      <c r="D129" t="s">
        <v>158</v>
      </c>
      <c r="E129" t="s">
        <v>216</v>
      </c>
      <c r="F129" s="1">
        <v>6</v>
      </c>
      <c r="G129" s="2">
        <v>0.4</v>
      </c>
      <c r="H129" s="2">
        <v>0.512</v>
      </c>
      <c r="I129" s="1">
        <v>8.4</v>
      </c>
      <c r="J129" s="1">
        <f>IF(AND(ISNUMBER(F129),ISNUMBER(H129)),ROUND(F129*(1+H129),2),"")</f>
        <v>9.07</v>
      </c>
      <c r="K129" s="2">
        <f>IF(AND(ISNUMBER(I129),I129&gt;0,ISNUMBER(J129)),J129/I129-1,"")</f>
        <v>0.0797619047619047</v>
      </c>
      <c r="L129" t="s">
        <v>38</v>
      </c>
      <c r="N129" s="1" t="s">
        <f>IF(AND(ISNUMBER(U129),U129&gt;0,ISNUMBER(J129)),ROUND(J129/U129,2),"")</f>
        <v>39</v>
      </c>
      <c r="Q129" t="s">
        <v>40</v>
      </c>
      <c r="R129" t="s">
        <v>39</v>
      </c>
      <c r="S129">
        <v>762988</v>
      </c>
      <c r="T129">
        <v>762988</v>
      </c>
      <c r="X129" t="s">
        <v>41</v>
      </c>
      <c r="Z129" s="1">
        <v>8.4</v>
      </c>
      <c r="AA129" s="1">
        <f>IF(AND(ISNUMBER(Z129),ISNUMBER(I129),I129&gt;0,ISNUMBER(J129)),ROUND(Z129*J129/I129,2),"")</f>
        <v>9.07</v>
      </c>
      <c r="AB129" t="s">
        <v>42</v>
      </c>
      <c r="AC129" t="s">
        <v>43</v>
      </c>
      <c r="AD129" t="s">
        <v>44</v>
      </c>
      <c r="AE129" t="s">
        <v>45</v>
      </c>
    </row>
    <row r="130">
      <c r="A130">
        <v>805475</v>
      </c>
      <c r="B130">
        <v>805475</v>
      </c>
      <c r="C130" t="s">
        <v>217</v>
      </c>
      <c r="D130" t="s">
        <v>158</v>
      </c>
      <c r="E130" t="s">
        <v>209</v>
      </c>
      <c r="F130" s="1">
        <v>12</v>
      </c>
      <c r="G130" s="2">
        <v>0.4</v>
      </c>
      <c r="H130" s="2">
        <v>0.512</v>
      </c>
      <c r="I130" s="1">
        <v>16.8</v>
      </c>
      <c r="J130" s="1">
        <f>IF(AND(ISNUMBER(F130),ISNUMBER(H130)),ROUND(F130*(1+H130),2),"")</f>
        <v>18.14</v>
      </c>
      <c r="K130" s="2">
        <f>IF(AND(ISNUMBER(I130),I130&gt;0,ISNUMBER(J130)),J130/I130-1,"")</f>
        <v>0.0797619047619047</v>
      </c>
      <c r="L130" t="s">
        <v>38</v>
      </c>
      <c r="M130" s="1">
        <v>33.6</v>
      </c>
      <c r="N130" s="1">
        <f>IF(AND(ISNUMBER(U130),U130&gt;0,ISNUMBER(J130)),ROUND(J130/U130,2),"")</f>
        <v>36.28</v>
      </c>
      <c r="Q130" t="s">
        <v>40</v>
      </c>
      <c r="R130" t="s">
        <v>39</v>
      </c>
      <c r="S130">
        <v>526482</v>
      </c>
      <c r="T130">
        <v>526482</v>
      </c>
      <c r="U130" s="3">
        <v>0.5</v>
      </c>
      <c r="X130" t="s">
        <v>41</v>
      </c>
      <c r="Z130" s="1">
        <v>16.8</v>
      </c>
      <c r="AA130" s="1">
        <f>IF(AND(ISNUMBER(Z130),ISNUMBER(I130),I130&gt;0,ISNUMBER(J130)),ROUND(Z130*J130/I130,2),"")</f>
        <v>18.14</v>
      </c>
      <c r="AB130" t="s">
        <v>42</v>
      </c>
      <c r="AC130" t="s">
        <v>43</v>
      </c>
      <c r="AD130" t="s">
        <v>44</v>
      </c>
      <c r="AE130" t="s">
        <v>45</v>
      </c>
    </row>
    <row r="131">
      <c r="A131">
        <v>805476</v>
      </c>
      <c r="B131">
        <v>805476</v>
      </c>
      <c r="C131" t="s">
        <v>218</v>
      </c>
      <c r="D131" t="s">
        <v>158</v>
      </c>
      <c r="E131" t="s">
        <v>190</v>
      </c>
      <c r="F131" s="1">
        <v>7</v>
      </c>
      <c r="G131" s="2">
        <v>0.5</v>
      </c>
      <c r="H131" s="2">
        <v>0.62</v>
      </c>
      <c r="I131" s="1">
        <v>10.5</v>
      </c>
      <c r="J131" s="1">
        <f>IF(AND(ISNUMBER(F131),ISNUMBER(H131)),ROUND(F131*(1+H131),2),"")</f>
        <v>11.34</v>
      </c>
      <c r="K131" s="2">
        <f>IF(AND(ISNUMBER(I131),I131&gt;0,ISNUMBER(J131)),J131/I131-1,"")</f>
        <v>0.08000000000000007</v>
      </c>
      <c r="L131" t="s">
        <v>38</v>
      </c>
      <c r="N131" s="1" t="s">
        <f>IF(AND(ISNUMBER(U131),U131&gt;0,ISNUMBER(J131)),ROUND(J131/U131,2),"")</f>
        <v>39</v>
      </c>
      <c r="Q131" t="s">
        <v>40</v>
      </c>
      <c r="R131" t="s">
        <v>39</v>
      </c>
      <c r="S131">
        <v>526483</v>
      </c>
      <c r="T131">
        <v>526483</v>
      </c>
      <c r="X131" t="s">
        <v>41</v>
      </c>
      <c r="Z131" s="1">
        <v>10.5</v>
      </c>
      <c r="AA131" s="1">
        <f>IF(AND(ISNUMBER(Z131),ISNUMBER(I131),I131&gt;0,ISNUMBER(J131)),ROUND(Z131*J131/I131,2),"")</f>
        <v>11.34</v>
      </c>
      <c r="AB131" t="s">
        <v>42</v>
      </c>
      <c r="AC131" t="s">
        <v>134</v>
      </c>
      <c r="AD131" t="s">
        <v>44</v>
      </c>
      <c r="AE131" t="s">
        <v>45</v>
      </c>
    </row>
    <row r="132">
      <c r="A132">
        <v>1023367</v>
      </c>
      <c r="B132">
        <v>1023367</v>
      </c>
      <c r="C132" t="s">
        <v>219</v>
      </c>
      <c r="D132" t="s">
        <v>158</v>
      </c>
      <c r="E132" t="s">
        <v>220</v>
      </c>
      <c r="F132" s="1">
        <v>10.79</v>
      </c>
      <c r="G132" s="2">
        <v>0.6</v>
      </c>
      <c r="H132" s="2">
        <v>0.728</v>
      </c>
      <c r="I132" s="1">
        <v>17.26</v>
      </c>
      <c r="J132" s="1">
        <f>IF(AND(ISNUMBER(F132),ISNUMBER(H132)),ROUND(F132*(1+H132),2),"")</f>
        <v>18.65</v>
      </c>
      <c r="K132" s="2">
        <f>IF(AND(ISNUMBER(I132),I132&gt;0,ISNUMBER(J132)),J132/I132-1,"")</f>
        <v>0.08053302433371945</v>
      </c>
      <c r="L132" t="s">
        <v>38</v>
      </c>
      <c r="M132" s="1">
        <v>46.03</v>
      </c>
      <c r="N132" s="1">
        <f>IF(AND(ISNUMBER(U132),U132&gt;0,ISNUMBER(J132)),ROUND(J132/U132,2),"")</f>
        <v>49.73</v>
      </c>
      <c r="Q132" t="s">
        <v>40</v>
      </c>
      <c r="R132" t="s">
        <v>39</v>
      </c>
      <c r="S132">
        <v>811274</v>
      </c>
      <c r="T132">
        <v>811274</v>
      </c>
      <c r="U132" s="3">
        <v>0.375</v>
      </c>
      <c r="X132" t="s">
        <v>41</v>
      </c>
      <c r="Z132" s="1">
        <v>17.26</v>
      </c>
      <c r="AA132" s="1">
        <f>IF(AND(ISNUMBER(Z132),ISNUMBER(I132),I132&gt;0,ISNUMBER(J132)),ROUND(Z132*J132/I132,2),"")</f>
        <v>18.65</v>
      </c>
      <c r="AB132" t="s">
        <v>42</v>
      </c>
      <c r="AC132" t="s">
        <v>134</v>
      </c>
      <c r="AD132" t="s">
        <v>48</v>
      </c>
      <c r="AE132" t="s">
        <v>45</v>
      </c>
    </row>
    <row r="133">
      <c r="A133">
        <v>805477</v>
      </c>
      <c r="B133">
        <v>805477</v>
      </c>
      <c r="C133" t="s">
        <v>221</v>
      </c>
      <c r="D133" t="s">
        <v>158</v>
      </c>
      <c r="E133" t="s">
        <v>222</v>
      </c>
      <c r="F133" s="1">
        <v>12</v>
      </c>
      <c r="G133" s="2">
        <v>0.4</v>
      </c>
      <c r="H133" s="2">
        <v>0.512</v>
      </c>
      <c r="I133" s="1">
        <v>16.8</v>
      </c>
      <c r="J133" s="1">
        <f>IF(AND(ISNUMBER(F133),ISNUMBER(H133)),ROUND(F133*(1+H133),2),"")</f>
        <v>18.14</v>
      </c>
      <c r="K133" s="2">
        <f>IF(AND(ISNUMBER(I133),I133&gt;0,ISNUMBER(J133)),J133/I133-1,"")</f>
        <v>0.0797619047619047</v>
      </c>
      <c r="L133" t="s">
        <v>38</v>
      </c>
      <c r="N133" s="1" t="s">
        <f>IF(AND(ISNUMBER(U133),U133&gt;0,ISNUMBER(J133)),ROUND(J133/U133,2),"")</f>
        <v>39</v>
      </c>
      <c r="Q133" t="s">
        <v>40</v>
      </c>
      <c r="R133" t="s">
        <v>39</v>
      </c>
      <c r="S133">
        <v>526484</v>
      </c>
      <c r="T133">
        <v>526484</v>
      </c>
      <c r="X133" t="s">
        <v>41</v>
      </c>
      <c r="Z133" s="1">
        <v>16.8</v>
      </c>
      <c r="AA133" s="1">
        <f>IF(AND(ISNUMBER(Z133),ISNUMBER(I133),I133&gt;0,ISNUMBER(J133)),ROUND(Z133*J133/I133,2),"")</f>
        <v>18.14</v>
      </c>
      <c r="AB133" t="s">
        <v>42</v>
      </c>
      <c r="AC133" t="s">
        <v>43</v>
      </c>
      <c r="AD133" t="s">
        <v>44</v>
      </c>
      <c r="AE133" t="s">
        <v>45</v>
      </c>
    </row>
    <row r="134">
      <c r="A134">
        <v>981122</v>
      </c>
      <c r="B134">
        <v>981122</v>
      </c>
      <c r="C134" t="s">
        <v>223</v>
      </c>
      <c r="D134" t="s">
        <v>224</v>
      </c>
      <c r="E134" t="s">
        <v>225</v>
      </c>
      <c r="F134" s="1">
        <v>6.85</v>
      </c>
      <c r="G134" s="2">
        <v>0.4</v>
      </c>
      <c r="H134" s="2">
        <v>0.512</v>
      </c>
      <c r="I134" s="1">
        <v>9.59</v>
      </c>
      <c r="J134" s="1">
        <f>IF(AND(ISNUMBER(F134),ISNUMBER(H134)),ROUND(F134*(1+H134),2),"")</f>
        <v>10.36</v>
      </c>
      <c r="K134" s="2">
        <f>IF(AND(ISNUMBER(I134),I134&gt;0,ISNUMBER(J134)),J134/I134-1,"")</f>
        <v>0.08029197080291972</v>
      </c>
      <c r="L134" t="s">
        <v>38</v>
      </c>
      <c r="M134" s="1">
        <v>51.15</v>
      </c>
      <c r="N134" s="1">
        <f>IF(AND(ISNUMBER(U134),U134&gt;0,ISNUMBER(J134)),ROUND(J134/U134,2),"")</f>
        <v>55.25</v>
      </c>
      <c r="Q134" t="s">
        <v>40</v>
      </c>
      <c r="R134" t="s">
        <v>39</v>
      </c>
      <c r="S134">
        <v>749359</v>
      </c>
      <c r="T134">
        <v>749359</v>
      </c>
      <c r="U134" s="3">
        <v>0.1875</v>
      </c>
      <c r="X134" t="s">
        <v>41</v>
      </c>
      <c r="Z134" s="1">
        <v>9.59</v>
      </c>
      <c r="AA134" s="1">
        <f>IF(AND(ISNUMBER(Z134),ISNUMBER(I134),I134&gt;0,ISNUMBER(J134)),ROUND(Z134*J134/I134,2),"")</f>
        <v>10.36</v>
      </c>
      <c r="AB134" t="s">
        <v>42</v>
      </c>
      <c r="AC134" t="s">
        <v>43</v>
      </c>
      <c r="AD134" t="s">
        <v>48</v>
      </c>
      <c r="AE134" t="s">
        <v>45</v>
      </c>
    </row>
    <row r="135">
      <c r="A135">
        <v>957990</v>
      </c>
      <c r="B135">
        <v>957990</v>
      </c>
      <c r="C135" t="s">
        <v>226</v>
      </c>
      <c r="D135" t="s">
        <v>224</v>
      </c>
      <c r="E135" t="s">
        <v>225</v>
      </c>
      <c r="F135" s="1">
        <v>6.75</v>
      </c>
      <c r="G135" s="2">
        <v>0.4</v>
      </c>
      <c r="H135" s="2">
        <v>0.512</v>
      </c>
      <c r="I135" s="1">
        <v>9.45</v>
      </c>
      <c r="J135" s="1">
        <f>IF(AND(ISNUMBER(F135),ISNUMBER(H135)),ROUND(F135*(1+H135),2),"")</f>
        <v>10.21</v>
      </c>
      <c r="K135" s="2">
        <f>IF(AND(ISNUMBER(I135),I135&gt;0,ISNUMBER(J135)),J135/I135-1,"")</f>
        <v>0.08042328042328051</v>
      </c>
      <c r="L135" t="s">
        <v>38</v>
      </c>
      <c r="M135" s="1">
        <v>50.4</v>
      </c>
      <c r="N135" s="1">
        <f>IF(AND(ISNUMBER(U135),U135&gt;0,ISNUMBER(J135)),ROUND(J135/U135,2),"")</f>
        <v>54.45</v>
      </c>
      <c r="Q135" t="s">
        <v>40</v>
      </c>
      <c r="R135" t="s">
        <v>39</v>
      </c>
      <c r="S135">
        <v>717429</v>
      </c>
      <c r="T135">
        <v>717429</v>
      </c>
      <c r="U135" s="3">
        <v>0.1875</v>
      </c>
      <c r="X135" t="s">
        <v>41</v>
      </c>
      <c r="Z135" s="1">
        <v>9.45</v>
      </c>
      <c r="AA135" s="1">
        <f>IF(AND(ISNUMBER(Z135),ISNUMBER(I135),I135&gt;0,ISNUMBER(J135)),ROUND(Z135*J135/I135,2),"")</f>
        <v>10.21</v>
      </c>
      <c r="AB135" t="s">
        <v>42</v>
      </c>
      <c r="AC135" t="s">
        <v>43</v>
      </c>
      <c r="AD135" t="s">
        <v>48</v>
      </c>
      <c r="AE135" t="s">
        <v>45</v>
      </c>
    </row>
    <row r="136">
      <c r="A136">
        <v>981124</v>
      </c>
      <c r="B136">
        <v>981124</v>
      </c>
      <c r="C136" t="s">
        <v>227</v>
      </c>
      <c r="D136" t="s">
        <v>224</v>
      </c>
      <c r="E136" t="s">
        <v>225</v>
      </c>
      <c r="F136" s="1">
        <v>6.89</v>
      </c>
      <c r="G136" s="2">
        <v>0.4</v>
      </c>
      <c r="H136" s="2">
        <v>0.512</v>
      </c>
      <c r="I136" s="1">
        <v>9.65</v>
      </c>
      <c r="J136" s="1">
        <f>IF(AND(ISNUMBER(F136),ISNUMBER(H136)),ROUND(F136*(1+H136),2),"")</f>
        <v>10.42</v>
      </c>
      <c r="K136" s="2">
        <f>IF(AND(ISNUMBER(I136),I136&gt;0,ISNUMBER(J136)),J136/I136-1,"")</f>
        <v>0.07979274611398957</v>
      </c>
      <c r="L136" t="s">
        <v>38</v>
      </c>
      <c r="M136" s="1">
        <v>51.47</v>
      </c>
      <c r="N136" s="1">
        <f>IF(AND(ISNUMBER(U136),U136&gt;0,ISNUMBER(J136)),ROUND(J136/U136,2),"")</f>
        <v>55.57</v>
      </c>
      <c r="Q136" t="s">
        <v>40</v>
      </c>
      <c r="R136" t="s">
        <v>39</v>
      </c>
      <c r="S136">
        <v>749361</v>
      </c>
      <c r="T136">
        <v>749361</v>
      </c>
      <c r="U136" s="3">
        <v>0.1875</v>
      </c>
      <c r="X136" t="s">
        <v>41</v>
      </c>
      <c r="Z136" s="1">
        <v>9.65</v>
      </c>
      <c r="AA136" s="1">
        <f>IF(AND(ISNUMBER(Z136),ISNUMBER(I136),I136&gt;0,ISNUMBER(J136)),ROUND(Z136*J136/I136,2),"")</f>
        <v>10.42</v>
      </c>
      <c r="AB136" t="s">
        <v>42</v>
      </c>
      <c r="AC136" t="s">
        <v>43</v>
      </c>
      <c r="AD136" t="s">
        <v>48</v>
      </c>
      <c r="AE136" t="s">
        <v>45</v>
      </c>
    </row>
    <row r="137">
      <c r="A137">
        <v>1048784</v>
      </c>
      <c r="B137">
        <v>1048784</v>
      </c>
      <c r="C137" t="s">
        <v>228</v>
      </c>
      <c r="D137" t="s">
        <v>229</v>
      </c>
      <c r="E137" t="s">
        <v>63</v>
      </c>
      <c r="F137" s="1">
        <v>200</v>
      </c>
      <c r="G137" s="2">
        <v>0</v>
      </c>
      <c r="H137" s="2">
        <v>0</v>
      </c>
      <c r="I137" s="1">
        <v>200</v>
      </c>
      <c r="J137" s="1">
        <f>I137</f>
        <v>200</v>
      </c>
      <c r="K137" s="2">
        <f>IF(AND(ISNUMBER(I137),I137&gt;0,ISNUMBER(J137)),J137/I137-1,"")</f>
        <v>0</v>
      </c>
      <c r="L137" t="s">
        <v>38</v>
      </c>
      <c r="N137" s="1" t="s">
        <f>IF(AND(ISNUMBER(U137),U137&gt;0,ISNUMBER(J137)),ROUND(J137/U137,2),"")</f>
        <v>39</v>
      </c>
      <c r="Q137" t="s">
        <v>230</v>
      </c>
      <c r="R137" t="s">
        <v>39</v>
      </c>
      <c r="S137">
        <v>852413</v>
      </c>
      <c r="T137">
        <v>852413</v>
      </c>
      <c r="X137" t="s">
        <v>41</v>
      </c>
      <c r="Z137" s="1">
        <v>200</v>
      </c>
      <c r="AA137" s="1">
        <f>IF(AND(ISNUMBER(Z137),ISNUMBER(I137),I137&gt;0,ISNUMBER(J137)),ROUND(Z137*J137/I137,2),"")</f>
        <v>200</v>
      </c>
      <c r="AB137" t="s">
        <v>231</v>
      </c>
      <c r="AC137" t="s">
        <v>232</v>
      </c>
      <c r="AD137" t="s">
        <v>44</v>
      </c>
      <c r="AE137" t="s">
        <v>45</v>
      </c>
    </row>
    <row r="138">
      <c r="A138">
        <v>1042497</v>
      </c>
      <c r="B138">
        <v>1042497</v>
      </c>
      <c r="C138" t="s">
        <v>233</v>
      </c>
      <c r="D138" t="s">
        <v>229</v>
      </c>
      <c r="E138" t="s">
        <v>63</v>
      </c>
      <c r="F138" s="1">
        <v>200</v>
      </c>
      <c r="G138" s="2">
        <v>0</v>
      </c>
      <c r="H138" s="2">
        <v>0</v>
      </c>
      <c r="I138" s="1">
        <v>200</v>
      </c>
      <c r="J138" s="1">
        <f>I138</f>
        <v>200</v>
      </c>
      <c r="K138" s="2">
        <f>IF(AND(ISNUMBER(I138),I138&gt;0,ISNUMBER(J138)),J138/I138-1,"")</f>
        <v>0</v>
      </c>
      <c r="L138" t="s">
        <v>38</v>
      </c>
      <c r="N138" s="1" t="s">
        <f>IF(AND(ISNUMBER(U138),U138&gt;0,ISNUMBER(J138)),ROUND(J138/U138,2),"")</f>
        <v>39</v>
      </c>
      <c r="Q138" t="s">
        <v>230</v>
      </c>
      <c r="R138" t="s">
        <v>39</v>
      </c>
      <c r="S138">
        <v>844442</v>
      </c>
      <c r="T138">
        <v>844442</v>
      </c>
      <c r="X138" t="s">
        <v>41</v>
      </c>
      <c r="Z138" s="1">
        <v>200</v>
      </c>
      <c r="AA138" s="1">
        <f>IF(AND(ISNUMBER(Z138),ISNUMBER(I138),I138&gt;0,ISNUMBER(J138)),ROUND(Z138*J138/I138,2),"")</f>
        <v>200</v>
      </c>
      <c r="AB138" t="s">
        <v>234</v>
      </c>
      <c r="AC138" t="s">
        <v>235</v>
      </c>
      <c r="AD138" t="s">
        <v>48</v>
      </c>
      <c r="AE138" t="s">
        <v>45</v>
      </c>
    </row>
    <row r="139">
      <c r="A139">
        <v>1048785</v>
      </c>
      <c r="B139">
        <v>1048785</v>
      </c>
      <c r="C139" t="s">
        <v>236</v>
      </c>
      <c r="D139" t="s">
        <v>229</v>
      </c>
      <c r="E139" t="s">
        <v>63</v>
      </c>
      <c r="F139" s="1">
        <v>200</v>
      </c>
      <c r="G139" s="2">
        <v>0</v>
      </c>
      <c r="H139" s="2">
        <v>0</v>
      </c>
      <c r="I139" s="1">
        <v>200</v>
      </c>
      <c r="J139" s="1">
        <f>I139</f>
        <v>200</v>
      </c>
      <c r="K139" s="2">
        <f>IF(AND(ISNUMBER(I139),I139&gt;0,ISNUMBER(J139)),J139/I139-1,"")</f>
        <v>0</v>
      </c>
      <c r="L139" t="s">
        <v>38</v>
      </c>
      <c r="N139" s="1" t="s">
        <f>IF(AND(ISNUMBER(U139),U139&gt;0,ISNUMBER(J139)),ROUND(J139/U139,2),"")</f>
        <v>39</v>
      </c>
      <c r="Q139" t="s">
        <v>230</v>
      </c>
      <c r="R139" t="s">
        <v>39</v>
      </c>
      <c r="S139">
        <v>852414</v>
      </c>
      <c r="T139">
        <v>852414</v>
      </c>
      <c r="X139" t="s">
        <v>41</v>
      </c>
      <c r="Z139" s="1">
        <v>200</v>
      </c>
      <c r="AA139" s="1">
        <f>IF(AND(ISNUMBER(Z139),ISNUMBER(I139),I139&gt;0,ISNUMBER(J139)),ROUND(Z139*J139/I139,2),"")</f>
        <v>200</v>
      </c>
      <c r="AB139" t="s">
        <v>234</v>
      </c>
      <c r="AC139" t="s">
        <v>235</v>
      </c>
      <c r="AD139" t="s">
        <v>48</v>
      </c>
      <c r="AE139" t="s">
        <v>45</v>
      </c>
    </row>
    <row r="140">
      <c r="A140">
        <v>1032334</v>
      </c>
      <c r="B140">
        <v>1032334</v>
      </c>
      <c r="C140" t="s">
        <v>237</v>
      </c>
      <c r="D140" t="s">
        <v>229</v>
      </c>
      <c r="E140" t="s">
        <v>63</v>
      </c>
      <c r="F140" s="1">
        <v>200</v>
      </c>
      <c r="G140" s="2">
        <v>0</v>
      </c>
      <c r="H140" s="2">
        <v>0</v>
      </c>
      <c r="I140" s="1">
        <v>200</v>
      </c>
      <c r="J140" s="1">
        <f>I140</f>
        <v>200</v>
      </c>
      <c r="K140" s="2">
        <f>IF(AND(ISNUMBER(I140),I140&gt;0,ISNUMBER(J140)),J140/I140-1,"")</f>
        <v>0</v>
      </c>
      <c r="L140" t="s">
        <v>38</v>
      </c>
      <c r="N140" s="1" t="s">
        <f>IF(AND(ISNUMBER(U140),U140&gt;0,ISNUMBER(J140)),ROUND(J140/U140,2),"")</f>
        <v>39</v>
      </c>
      <c r="Q140" t="s">
        <v>230</v>
      </c>
      <c r="R140" t="s">
        <v>39</v>
      </c>
      <c r="S140">
        <v>827253</v>
      </c>
      <c r="T140">
        <v>827253</v>
      </c>
      <c r="X140" t="s">
        <v>41</v>
      </c>
      <c r="Z140" s="1">
        <v>200</v>
      </c>
      <c r="AA140" s="1">
        <f>IF(AND(ISNUMBER(Z140),ISNUMBER(I140),I140&gt;0,ISNUMBER(J140)),ROUND(Z140*J140/I140,2),"")</f>
        <v>200</v>
      </c>
      <c r="AB140" t="s">
        <v>234</v>
      </c>
      <c r="AC140" t="s">
        <v>235</v>
      </c>
      <c r="AD140" t="s">
        <v>48</v>
      </c>
      <c r="AE140" t="s">
        <v>45</v>
      </c>
    </row>
    <row r="141">
      <c r="A141">
        <v>816242</v>
      </c>
      <c r="B141">
        <v>816242</v>
      </c>
      <c r="C141" t="s">
        <v>238</v>
      </c>
      <c r="D141" t="s">
        <v>229</v>
      </c>
      <c r="E141" t="s">
        <v>239</v>
      </c>
      <c r="F141" s="1">
        <v>11.69</v>
      </c>
      <c r="G141" s="2">
        <v>0.6574</v>
      </c>
      <c r="H141" s="2">
        <v>0.79</v>
      </c>
      <c r="I141" s="1">
        <v>19.38</v>
      </c>
      <c r="J141" s="1">
        <f>IF(AND(ISNUMBER(F141),ISNUMBER(H141)),ROUND(F141*(1+H141),2),"")</f>
        <v>20.93</v>
      </c>
      <c r="K141" s="2">
        <f>IF(AND(ISNUMBER(I141),I141&gt;0,ISNUMBER(J141)),J141/I141-1,"")</f>
        <v>0.07997936016511864</v>
      </c>
      <c r="L141" t="s">
        <v>38</v>
      </c>
      <c r="M141" s="1">
        <v>16.15</v>
      </c>
      <c r="N141" s="1">
        <f>IF(AND(ISNUMBER(U141),U141&gt;0,ISNUMBER(J141)),ROUND(J141/U141,2),"")</f>
        <v>17.44</v>
      </c>
      <c r="O141" s="1">
        <v>18</v>
      </c>
      <c r="P141" s="1">
        <v>19.44</v>
      </c>
      <c r="Q141" t="s">
        <v>40</v>
      </c>
      <c r="R141" t="s">
        <v>39</v>
      </c>
      <c r="S141">
        <v>538686</v>
      </c>
      <c r="T141">
        <v>538686</v>
      </c>
      <c r="U141" s="3">
        <v>1.2</v>
      </c>
      <c r="V141" s="1">
        <v>18</v>
      </c>
      <c r="W141" s="1">
        <v>19.44</v>
      </c>
      <c r="X141" t="s">
        <v>240</v>
      </c>
      <c r="Y141" t="s">
        <v>241</v>
      </c>
      <c r="Z141" s="1">
        <v>19.38</v>
      </c>
      <c r="AA141" s="1">
        <f>IF(AND(ISNUMBER(Z141),ISNUMBER(I141),I141&gt;0,ISNUMBER(J141)),ROUND(Z141*J141/I141,2),"")</f>
        <v>20.93</v>
      </c>
      <c r="AB141" t="s">
        <v>42</v>
      </c>
      <c r="AC141" t="s">
        <v>242</v>
      </c>
      <c r="AD141" t="s">
        <v>48</v>
      </c>
      <c r="AE141" t="s">
        <v>45</v>
      </c>
    </row>
    <row r="142">
      <c r="A142">
        <v>805653</v>
      </c>
      <c r="B142">
        <v>805653</v>
      </c>
      <c r="C142" t="s">
        <v>243</v>
      </c>
      <c r="D142" t="s">
        <v>229</v>
      </c>
      <c r="E142" t="s">
        <v>192</v>
      </c>
      <c r="F142" s="1">
        <v>5.95</v>
      </c>
      <c r="G142" s="2">
        <v>0.6574</v>
      </c>
      <c r="H142" s="2">
        <v>0.79</v>
      </c>
      <c r="I142" s="1">
        <v>9.86</v>
      </c>
      <c r="J142" s="1">
        <f>IF(AND(ISNUMBER(F142),ISNUMBER(H142)),ROUND(F142*(1+H142),2),"")</f>
        <v>10.65</v>
      </c>
      <c r="K142" s="2">
        <f>IF(AND(ISNUMBER(I142),I142&gt;0,ISNUMBER(J142)),J142/I142-1,"")</f>
        <v>0.08012170385395545</v>
      </c>
      <c r="L142" t="s">
        <v>38</v>
      </c>
      <c r="M142" s="1">
        <v>19.72</v>
      </c>
      <c r="N142" s="1">
        <f>IF(AND(ISNUMBER(U142),U142&gt;0,ISNUMBER(J142)),ROUND(J142/U142,2),"")</f>
        <v>21.3</v>
      </c>
      <c r="O142" s="1">
        <v>22</v>
      </c>
      <c r="P142" s="1">
        <v>23.76</v>
      </c>
      <c r="Q142" t="s">
        <v>40</v>
      </c>
      <c r="R142" t="s">
        <v>39</v>
      </c>
      <c r="S142">
        <v>526706</v>
      </c>
      <c r="T142">
        <v>526706</v>
      </c>
      <c r="U142" s="3">
        <v>0.5</v>
      </c>
      <c r="V142" s="1">
        <v>11</v>
      </c>
      <c r="W142" s="1">
        <v>11.88</v>
      </c>
      <c r="X142" t="s">
        <v>244</v>
      </c>
      <c r="Y142" t="s">
        <v>245</v>
      </c>
      <c r="Z142" s="1">
        <v>9.86</v>
      </c>
      <c r="AA142" s="1">
        <f>IF(AND(ISNUMBER(Z142),ISNUMBER(I142),I142&gt;0,ISNUMBER(J142)),ROUND(Z142*J142/I142,2),"")</f>
        <v>10.65</v>
      </c>
      <c r="AB142" t="s">
        <v>42</v>
      </c>
      <c r="AC142" t="s">
        <v>246</v>
      </c>
      <c r="AD142" t="s">
        <v>44</v>
      </c>
      <c r="AE142" t="s">
        <v>45</v>
      </c>
    </row>
    <row r="143">
      <c r="A143">
        <v>805724</v>
      </c>
      <c r="B143">
        <v>805724</v>
      </c>
      <c r="C143" t="s">
        <v>247</v>
      </c>
      <c r="D143" t="s">
        <v>229</v>
      </c>
      <c r="E143" t="s">
        <v>192</v>
      </c>
      <c r="F143" s="1">
        <v>7.04</v>
      </c>
      <c r="G143" s="2">
        <v>0.6574</v>
      </c>
      <c r="H143" s="2">
        <v>0.79</v>
      </c>
      <c r="I143" s="1">
        <v>11.67</v>
      </c>
      <c r="J143" s="1">
        <f>IF(AND(ISNUMBER(F143),ISNUMBER(H143)),ROUND(F143*(1+H143),2),"")</f>
        <v>12.6</v>
      </c>
      <c r="K143" s="2">
        <f>IF(AND(ISNUMBER(I143),I143&gt;0,ISNUMBER(J143)),J143/I143-1,"")</f>
        <v>0.07969151670951158</v>
      </c>
      <c r="L143" t="s">
        <v>38</v>
      </c>
      <c r="M143" s="1">
        <v>23.34</v>
      </c>
      <c r="N143" s="1">
        <f>IF(AND(ISNUMBER(U143),U143&gt;0,ISNUMBER(J143)),ROUND(J143/U143,2),"")</f>
        <v>25.2</v>
      </c>
      <c r="O143" s="1">
        <v>26</v>
      </c>
      <c r="P143" s="1">
        <v>28.08</v>
      </c>
      <c r="Q143" t="s">
        <v>40</v>
      </c>
      <c r="R143" t="s">
        <v>39</v>
      </c>
      <c r="S143">
        <v>526778</v>
      </c>
      <c r="T143">
        <v>526778</v>
      </c>
      <c r="U143" s="3">
        <v>0.5</v>
      </c>
      <c r="V143" s="1">
        <v>13</v>
      </c>
      <c r="W143" s="1">
        <v>14.04</v>
      </c>
      <c r="X143" t="s">
        <v>244</v>
      </c>
      <c r="Y143" t="s">
        <v>248</v>
      </c>
      <c r="Z143" s="1">
        <v>11.67</v>
      </c>
      <c r="AA143" s="1">
        <f>IF(AND(ISNUMBER(Z143),ISNUMBER(I143),I143&gt;0,ISNUMBER(J143)),ROUND(Z143*J143/I143,2),"")</f>
        <v>12.6</v>
      </c>
      <c r="AB143" t="s">
        <v>42</v>
      </c>
      <c r="AC143" t="s">
        <v>246</v>
      </c>
      <c r="AD143" t="s">
        <v>44</v>
      </c>
      <c r="AE143" t="s">
        <v>45</v>
      </c>
    </row>
    <row r="144">
      <c r="A144">
        <v>1163728</v>
      </c>
      <c r="B144">
        <v>1164235</v>
      </c>
      <c r="C144" t="s">
        <v>249</v>
      </c>
      <c r="D144" t="s">
        <v>229</v>
      </c>
      <c r="E144" t="s">
        <v>63</v>
      </c>
      <c r="F144" s="1">
        <v>5.41</v>
      </c>
      <c r="G144" s="2">
        <v>0.6580406654343809</v>
      </c>
      <c r="H144" s="2">
        <v>0.7907</v>
      </c>
      <c r="I144" s="1">
        <v>8.97</v>
      </c>
      <c r="J144" s="1">
        <f>IF(AND(ISNUMBER(F144),ISNUMBER(H144)),ROUND(F144*(1+H144),2),"")</f>
        <v>9.69</v>
      </c>
      <c r="K144" s="2">
        <f>IF(AND(ISNUMBER(I144),I144&gt;0,ISNUMBER(J144)),J144/I144-1,"")</f>
        <v>0.08026755852842804</v>
      </c>
      <c r="L144" t="s">
        <v>38</v>
      </c>
      <c r="N144" s="1" t="s">
        <f>IF(AND(ISNUMBER(U144),U144&gt;0,ISNUMBER(J144)),ROUND(J144/U144,2),"")</f>
        <v>39</v>
      </c>
      <c r="Q144" t="s">
        <v>40</v>
      </c>
      <c r="R144" t="s">
        <v>39</v>
      </c>
      <c r="S144">
        <v>1011354</v>
      </c>
      <c r="T144">
        <v>1012073</v>
      </c>
      <c r="V144" s="1">
        <v>10</v>
      </c>
      <c r="W144" s="1">
        <v>10.8</v>
      </c>
      <c r="X144" t="s">
        <v>250</v>
      </c>
      <c r="Y144" t="s">
        <v>251</v>
      </c>
      <c r="Z144" s="1">
        <v>8.97</v>
      </c>
      <c r="AA144" s="1">
        <f>IF(AND(ISNUMBER(Z144),ISNUMBER(I144),I144&gt;0,ISNUMBER(J144)),ROUND(Z144*J144/I144,2),"")</f>
        <v>9.69</v>
      </c>
      <c r="AB144" t="s">
        <v>252</v>
      </c>
      <c r="AC144" t="s">
        <v>253</v>
      </c>
      <c r="AD144" t="s">
        <v>44</v>
      </c>
      <c r="AE144" t="s">
        <v>45</v>
      </c>
    </row>
    <row r="145">
      <c r="A145">
        <v>960228</v>
      </c>
      <c r="B145">
        <v>960228</v>
      </c>
      <c r="C145" t="s">
        <v>254</v>
      </c>
      <c r="D145" t="s">
        <v>229</v>
      </c>
      <c r="E145" t="s">
        <v>255</v>
      </c>
      <c r="F145" s="1">
        <v>17.59</v>
      </c>
      <c r="G145" s="2">
        <v>0.6574</v>
      </c>
      <c r="H145" s="2">
        <v>0.79</v>
      </c>
      <c r="I145" s="1">
        <v>29.15</v>
      </c>
      <c r="J145" s="1">
        <f>IF(AND(ISNUMBER(F145),ISNUMBER(H145)),ROUND(F145*(1+H145),2),"")</f>
        <v>31.49</v>
      </c>
      <c r="K145" s="2">
        <f>IF(AND(ISNUMBER(I145),I145&gt;0,ISNUMBER(J145)),J145/I145-1,"")</f>
        <v>0.0802744425385935</v>
      </c>
      <c r="L145" t="s">
        <v>38</v>
      </c>
      <c r="M145" s="1">
        <v>23.32</v>
      </c>
      <c r="N145" s="1">
        <f>IF(AND(ISNUMBER(U145),U145&gt;0,ISNUMBER(J145)),ROUND(J145/U145,2),"")</f>
        <v>25.19</v>
      </c>
      <c r="O145" s="1">
        <v>26</v>
      </c>
      <c r="P145" s="1">
        <v>28.08</v>
      </c>
      <c r="Q145" t="s">
        <v>40</v>
      </c>
      <c r="R145" t="s">
        <v>39</v>
      </c>
      <c r="S145">
        <v>720358</v>
      </c>
      <c r="T145">
        <v>720358</v>
      </c>
      <c r="U145" s="3">
        <v>1.25</v>
      </c>
      <c r="V145" s="1">
        <v>26</v>
      </c>
      <c r="W145" s="1">
        <v>28.08</v>
      </c>
      <c r="X145" t="s">
        <v>240</v>
      </c>
      <c r="Y145" t="s">
        <v>256</v>
      </c>
      <c r="Z145" s="1">
        <v>29.15</v>
      </c>
      <c r="AA145" s="1">
        <f>IF(AND(ISNUMBER(Z145),ISNUMBER(I145),I145&gt;0,ISNUMBER(J145)),ROUND(Z145*J145/I145,2),"")</f>
        <v>31.49</v>
      </c>
      <c r="AB145" t="s">
        <v>42</v>
      </c>
      <c r="AC145" t="s">
        <v>242</v>
      </c>
      <c r="AD145" t="s">
        <v>48</v>
      </c>
      <c r="AE145" t="s">
        <v>45</v>
      </c>
    </row>
    <row r="146">
      <c r="A146">
        <v>813072</v>
      </c>
      <c r="B146">
        <v>813072</v>
      </c>
      <c r="C146" t="s">
        <v>257</v>
      </c>
      <c r="D146" t="s">
        <v>229</v>
      </c>
      <c r="E146" t="s">
        <v>258</v>
      </c>
      <c r="F146" s="1">
        <v>21.65</v>
      </c>
      <c r="G146" s="2">
        <v>0.6574</v>
      </c>
      <c r="H146" s="2">
        <v>0.79</v>
      </c>
      <c r="I146" s="1">
        <v>35.88</v>
      </c>
      <c r="J146" s="1">
        <f>IF(AND(ISNUMBER(F146),ISNUMBER(H146)),ROUND(F146*(1+H146),2),"")</f>
        <v>38.75</v>
      </c>
      <c r="K146" s="2">
        <f>IF(AND(ISNUMBER(I146),I146&gt;0,ISNUMBER(J146)),J146/I146-1,"")</f>
        <v>0.07998885172798209</v>
      </c>
      <c r="L146" t="s">
        <v>38</v>
      </c>
      <c r="M146" s="1">
        <v>14.35</v>
      </c>
      <c r="N146" s="1">
        <f>IF(AND(ISNUMBER(U146),U146&gt;0,ISNUMBER(J146)),ROUND(J146/U146,2),"")</f>
        <v>15.5</v>
      </c>
      <c r="O146" s="1">
        <v>16.5</v>
      </c>
      <c r="P146" s="1">
        <v>17.82</v>
      </c>
      <c r="Q146" t="s">
        <v>40</v>
      </c>
      <c r="R146" t="s">
        <v>39</v>
      </c>
      <c r="S146">
        <v>535102</v>
      </c>
      <c r="T146">
        <v>535102</v>
      </c>
      <c r="U146" s="3">
        <v>2.5</v>
      </c>
      <c r="V146" s="1">
        <v>16.5</v>
      </c>
      <c r="W146" s="1">
        <v>17.82</v>
      </c>
      <c r="X146" t="s">
        <v>240</v>
      </c>
      <c r="Y146" t="s">
        <v>259</v>
      </c>
      <c r="Z146" s="1">
        <v>35.88</v>
      </c>
      <c r="AA146" s="1">
        <f>IF(AND(ISNUMBER(Z146),ISNUMBER(I146),I146&gt;0,ISNUMBER(J146)),ROUND(Z146*J146/I146,2),"")</f>
        <v>38.75</v>
      </c>
      <c r="AB146" t="s">
        <v>42</v>
      </c>
      <c r="AC146" t="s">
        <v>242</v>
      </c>
      <c r="AD146" t="s">
        <v>44</v>
      </c>
      <c r="AE146" t="s">
        <v>45</v>
      </c>
    </row>
    <row r="147">
      <c r="A147">
        <v>922135</v>
      </c>
      <c r="B147">
        <v>922135</v>
      </c>
      <c r="C147" t="s">
        <v>260</v>
      </c>
      <c r="D147" t="s">
        <v>229</v>
      </c>
      <c r="E147" t="s">
        <v>261</v>
      </c>
      <c r="F147" s="1">
        <v>5.95</v>
      </c>
      <c r="G147" s="2">
        <v>0.6574</v>
      </c>
      <c r="H147" s="2">
        <v>0.79</v>
      </c>
      <c r="I147" s="1">
        <v>9.86</v>
      </c>
      <c r="J147" s="1">
        <f>IF(AND(ISNUMBER(F147),ISNUMBER(H147)),ROUND(F147*(1+H147),2),"")</f>
        <v>10.65</v>
      </c>
      <c r="K147" s="2">
        <f>IF(AND(ISNUMBER(I147),I147&gt;0,ISNUMBER(J147)),J147/I147-1,"")</f>
        <v>0.08012170385395545</v>
      </c>
      <c r="L147" t="s">
        <v>38</v>
      </c>
      <c r="M147" s="1">
        <v>2.46</v>
      </c>
      <c r="N147" s="1">
        <f>IF(AND(ISNUMBER(U147),U147&gt;0,ISNUMBER(J147)),ROUND(J147/U147,2),"")</f>
        <v>2.66</v>
      </c>
      <c r="O147" s="1">
        <v>2.5</v>
      </c>
      <c r="P147" s="1">
        <v>2.7</v>
      </c>
      <c r="Q147" t="s">
        <v>40</v>
      </c>
      <c r="R147" t="s">
        <v>39</v>
      </c>
      <c r="S147">
        <v>669030</v>
      </c>
      <c r="T147">
        <v>669030</v>
      </c>
      <c r="U147" s="3">
        <v>4</v>
      </c>
      <c r="V147" s="1">
        <v>10</v>
      </c>
      <c r="W147" s="1">
        <v>10.8</v>
      </c>
      <c r="X147" t="s">
        <v>244</v>
      </c>
      <c r="Y147" t="s">
        <v>262</v>
      </c>
      <c r="Z147" s="1">
        <v>9.86</v>
      </c>
      <c r="AA147" s="1">
        <f>IF(AND(ISNUMBER(Z147),ISNUMBER(I147),I147&gt;0,ISNUMBER(J147)),ROUND(Z147*J147/I147,2),"")</f>
        <v>10.65</v>
      </c>
      <c r="AB147" t="s">
        <v>42</v>
      </c>
      <c r="AC147" t="s">
        <v>246</v>
      </c>
      <c r="AD147" t="s">
        <v>44</v>
      </c>
      <c r="AE147" t="s">
        <v>45</v>
      </c>
    </row>
    <row r="148">
      <c r="A148">
        <v>813075</v>
      </c>
      <c r="B148">
        <v>813075</v>
      </c>
      <c r="C148" t="s">
        <v>263</v>
      </c>
      <c r="D148" t="s">
        <v>229</v>
      </c>
      <c r="E148" t="s">
        <v>264</v>
      </c>
      <c r="F148" s="1">
        <v>12.66</v>
      </c>
      <c r="G148" s="2">
        <v>0.6574</v>
      </c>
      <c r="H148" s="2">
        <v>0.79</v>
      </c>
      <c r="I148" s="1">
        <v>20.98</v>
      </c>
      <c r="J148" s="1">
        <f>IF(AND(ISNUMBER(F148),ISNUMBER(H148)),ROUND(F148*(1+H148),2),"")</f>
        <v>22.66</v>
      </c>
      <c r="K148" s="2">
        <f>IF(AND(ISNUMBER(I148),I148&gt;0,ISNUMBER(J148)),J148/I148-1,"")</f>
        <v>0.08007626310772165</v>
      </c>
      <c r="L148" t="s">
        <v>38</v>
      </c>
      <c r="M148" s="1">
        <v>23.31</v>
      </c>
      <c r="N148" s="1">
        <f>IF(AND(ISNUMBER(U148),U148&gt;0,ISNUMBER(J148)),ROUND(J148/U148,2),"")</f>
        <v>25.18</v>
      </c>
      <c r="O148" s="1">
        <v>26</v>
      </c>
      <c r="P148" s="1">
        <v>28.08</v>
      </c>
      <c r="Q148" t="s">
        <v>40</v>
      </c>
      <c r="R148" t="s">
        <v>39</v>
      </c>
      <c r="S148">
        <v>535105</v>
      </c>
      <c r="T148">
        <v>535105</v>
      </c>
      <c r="U148" s="3">
        <v>0.9</v>
      </c>
      <c r="V148" s="1">
        <v>26</v>
      </c>
      <c r="W148" s="1">
        <v>28.08</v>
      </c>
      <c r="X148" t="s">
        <v>240</v>
      </c>
      <c r="Y148" t="s">
        <v>265</v>
      </c>
      <c r="Z148" s="1">
        <v>20.98</v>
      </c>
      <c r="AA148" s="1">
        <f>IF(AND(ISNUMBER(Z148),ISNUMBER(I148),I148&gt;0,ISNUMBER(J148)),ROUND(Z148*J148/I148,2),"")</f>
        <v>22.66</v>
      </c>
      <c r="AB148" t="s">
        <v>42</v>
      </c>
      <c r="AC148" t="s">
        <v>242</v>
      </c>
      <c r="AD148" t="s">
        <v>44</v>
      </c>
      <c r="AE148" t="s">
        <v>45</v>
      </c>
    </row>
    <row r="149">
      <c r="A149">
        <v>805660</v>
      </c>
      <c r="B149">
        <v>805660</v>
      </c>
      <c r="C149" t="s">
        <v>266</v>
      </c>
      <c r="D149" t="s">
        <v>229</v>
      </c>
      <c r="E149" t="s">
        <v>267</v>
      </c>
      <c r="F149" s="1">
        <v>15.42</v>
      </c>
      <c r="G149" s="2">
        <v>0.6574</v>
      </c>
      <c r="H149" s="2">
        <v>0.79</v>
      </c>
      <c r="I149" s="1">
        <v>25.56</v>
      </c>
      <c r="J149" s="1">
        <f>IF(AND(ISNUMBER(F149),ISNUMBER(H149)),ROUND(F149*(1+H149),2),"")</f>
        <v>27.6</v>
      </c>
      <c r="K149" s="2">
        <f>IF(AND(ISNUMBER(I149),I149&gt;0,ISNUMBER(J149)),J149/I149-1,"")</f>
        <v>0.07981220657277</v>
      </c>
      <c r="L149" t="s">
        <v>38</v>
      </c>
      <c r="M149" s="1">
        <v>8.52</v>
      </c>
      <c r="N149" s="1">
        <f>IF(AND(ISNUMBER(U149),U149&gt;0,ISNUMBER(J149)),ROUND(J149/U149,2),"")</f>
        <v>9.2</v>
      </c>
      <c r="O149" s="1">
        <v>9.5</v>
      </c>
      <c r="P149" s="1">
        <v>10.26</v>
      </c>
      <c r="Q149" t="s">
        <v>40</v>
      </c>
      <c r="R149" t="s">
        <v>39</v>
      </c>
      <c r="S149">
        <v>526713</v>
      </c>
      <c r="T149">
        <v>526713</v>
      </c>
      <c r="U149" s="3">
        <v>3</v>
      </c>
      <c r="V149" s="1">
        <v>9.5</v>
      </c>
      <c r="W149" s="1">
        <v>10.26</v>
      </c>
      <c r="X149" t="s">
        <v>240</v>
      </c>
      <c r="Y149" t="s">
        <v>268</v>
      </c>
      <c r="Z149" s="1">
        <v>25.56</v>
      </c>
      <c r="AA149" s="1">
        <f>IF(AND(ISNUMBER(Z149),ISNUMBER(I149),I149&gt;0,ISNUMBER(J149)),ROUND(Z149*J149/I149,2),"")</f>
        <v>27.6</v>
      </c>
      <c r="AB149" t="s">
        <v>42</v>
      </c>
      <c r="AC149" t="s">
        <v>242</v>
      </c>
      <c r="AD149" t="s">
        <v>44</v>
      </c>
      <c r="AE149" t="s">
        <v>45</v>
      </c>
    </row>
    <row r="150">
      <c r="A150">
        <v>825832</v>
      </c>
      <c r="B150">
        <v>825832</v>
      </c>
      <c r="C150" t="s">
        <v>269</v>
      </c>
      <c r="D150" t="s">
        <v>229</v>
      </c>
      <c r="E150" t="s">
        <v>270</v>
      </c>
      <c r="F150" s="1">
        <v>7.31</v>
      </c>
      <c r="G150" s="2">
        <v>0.66</v>
      </c>
      <c r="H150" s="2">
        <v>0.7928</v>
      </c>
      <c r="I150" s="1">
        <v>12.13</v>
      </c>
      <c r="J150" s="1">
        <f>IF(AND(ISNUMBER(F150),ISNUMBER(H150)),ROUND(F150*(1+H150),2),"")</f>
        <v>13.11</v>
      </c>
      <c r="K150" s="2">
        <f>IF(AND(ISNUMBER(I150),I150&gt;0,ISNUMBER(J150)),J150/I150-1,"")</f>
        <v>0.08079142621599322</v>
      </c>
      <c r="L150" t="s">
        <v>38</v>
      </c>
      <c r="M150" s="1">
        <v>13.48</v>
      </c>
      <c r="N150" s="1">
        <f>IF(AND(ISNUMBER(U150),U150&gt;0,ISNUMBER(J150)),ROUND(J150/U150,2),"")</f>
        <v>14.57</v>
      </c>
      <c r="O150" s="1">
        <v>15</v>
      </c>
      <c r="P150" s="1">
        <v>16.2</v>
      </c>
      <c r="Q150" t="s">
        <v>40</v>
      </c>
      <c r="R150" t="s">
        <v>39</v>
      </c>
      <c r="S150">
        <v>549811</v>
      </c>
      <c r="T150">
        <v>549811</v>
      </c>
      <c r="U150" s="3">
        <v>0.9</v>
      </c>
      <c r="V150" s="1">
        <v>15</v>
      </c>
      <c r="W150" s="1">
        <v>16.2</v>
      </c>
      <c r="X150" t="s">
        <v>240</v>
      </c>
      <c r="Y150" t="s">
        <v>271</v>
      </c>
      <c r="Z150" s="1">
        <v>12.13</v>
      </c>
      <c r="AA150" s="1">
        <f>IF(AND(ISNUMBER(Z150),ISNUMBER(I150),I150&gt;0,ISNUMBER(J150)),ROUND(Z150*J150/I150,2),"")</f>
        <v>13.11</v>
      </c>
      <c r="AB150" t="s">
        <v>42</v>
      </c>
      <c r="AC150" t="s">
        <v>242</v>
      </c>
      <c r="AD150" t="s">
        <v>44</v>
      </c>
      <c r="AE150" t="s">
        <v>45</v>
      </c>
    </row>
    <row r="151">
      <c r="A151">
        <v>841579</v>
      </c>
      <c r="B151">
        <v>841579</v>
      </c>
      <c r="C151" t="s">
        <v>272</v>
      </c>
      <c r="D151" t="s">
        <v>229</v>
      </c>
      <c r="E151" t="s">
        <v>273</v>
      </c>
      <c r="F151" s="1">
        <v>8.93</v>
      </c>
      <c r="G151" s="2">
        <v>0.66</v>
      </c>
      <c r="H151" s="2">
        <v>0.7928</v>
      </c>
      <c r="I151" s="1">
        <v>14.82</v>
      </c>
      <c r="J151" s="1">
        <f>IF(AND(ISNUMBER(F151),ISNUMBER(H151)),ROUND(F151*(1+H151),2),"")</f>
        <v>16.01</v>
      </c>
      <c r="K151" s="2">
        <f>IF(AND(ISNUMBER(I151),I151&gt;0,ISNUMBER(J151)),J151/I151-1,"")</f>
        <v>0.08029689608636992</v>
      </c>
      <c r="L151" t="s">
        <v>38</v>
      </c>
      <c r="M151" s="1">
        <v>13.47</v>
      </c>
      <c r="N151" s="1">
        <f>IF(AND(ISNUMBER(U151),U151&gt;0,ISNUMBER(J151)),ROUND(J151/U151,2),"")</f>
        <v>14.55</v>
      </c>
      <c r="O151" s="1">
        <v>15</v>
      </c>
      <c r="P151" s="1">
        <v>16.2</v>
      </c>
      <c r="Q151" t="s">
        <v>40</v>
      </c>
      <c r="R151" t="s">
        <v>39</v>
      </c>
      <c r="S151">
        <v>569100</v>
      </c>
      <c r="T151">
        <v>569100</v>
      </c>
      <c r="U151" s="3">
        <v>1.1</v>
      </c>
      <c r="V151" s="1">
        <v>15</v>
      </c>
      <c r="W151" s="1">
        <v>16.2</v>
      </c>
      <c r="X151" t="s">
        <v>274</v>
      </c>
      <c r="Y151" t="s">
        <v>275</v>
      </c>
      <c r="Z151" s="1">
        <v>14.82</v>
      </c>
      <c r="AA151" s="1">
        <f>IF(AND(ISNUMBER(Z151),ISNUMBER(I151),I151&gt;0,ISNUMBER(J151)),ROUND(Z151*J151/I151,2),"")</f>
        <v>16.01</v>
      </c>
      <c r="AB151" t="s">
        <v>42</v>
      </c>
      <c r="AC151" t="s">
        <v>276</v>
      </c>
      <c r="AD151" t="s">
        <v>44</v>
      </c>
      <c r="AE151" t="s">
        <v>45</v>
      </c>
    </row>
    <row r="152">
      <c r="A152">
        <v>825834</v>
      </c>
      <c r="B152">
        <v>825834</v>
      </c>
      <c r="C152" t="s">
        <v>277</v>
      </c>
      <c r="D152" t="s">
        <v>229</v>
      </c>
      <c r="E152" t="s">
        <v>261</v>
      </c>
      <c r="F152" s="1">
        <v>8.12</v>
      </c>
      <c r="G152" s="2">
        <v>0.6574</v>
      </c>
      <c r="H152" s="2">
        <v>0.79</v>
      </c>
      <c r="I152" s="1">
        <v>13.46</v>
      </c>
      <c r="J152" s="1">
        <f>IF(AND(ISNUMBER(F152),ISNUMBER(H152)),ROUND(F152*(1+H152),2),"")</f>
        <v>14.53</v>
      </c>
      <c r="K152" s="2">
        <f>IF(AND(ISNUMBER(I152),I152&gt;0,ISNUMBER(J152)),J152/I152-1,"")</f>
        <v>0.0794947994056463</v>
      </c>
      <c r="L152" t="s">
        <v>38</v>
      </c>
      <c r="M152" s="1">
        <v>3.37</v>
      </c>
      <c r="N152" s="1">
        <f>IF(AND(ISNUMBER(U152),U152&gt;0,ISNUMBER(J152)),ROUND(J152/U152,2),"")</f>
        <v>3.63</v>
      </c>
      <c r="O152" s="1">
        <v>3.75</v>
      </c>
      <c r="P152" s="1">
        <v>4.05</v>
      </c>
      <c r="Q152" t="s">
        <v>40</v>
      </c>
      <c r="R152" t="s">
        <v>39</v>
      </c>
      <c r="S152">
        <v>549813</v>
      </c>
      <c r="T152">
        <v>549813</v>
      </c>
      <c r="U152" s="3">
        <v>4</v>
      </c>
      <c r="V152" s="1">
        <v>15</v>
      </c>
      <c r="W152" s="1">
        <v>16.2</v>
      </c>
      <c r="X152" t="s">
        <v>244</v>
      </c>
      <c r="Y152" t="s">
        <v>278</v>
      </c>
      <c r="Z152" s="1">
        <v>13.46</v>
      </c>
      <c r="AA152" s="1">
        <f>IF(AND(ISNUMBER(Z152),ISNUMBER(I152),I152&gt;0,ISNUMBER(J152)),ROUND(Z152*J152/I152,2),"")</f>
        <v>14.53</v>
      </c>
      <c r="AB152" t="s">
        <v>42</v>
      </c>
      <c r="AC152" t="s">
        <v>246</v>
      </c>
      <c r="AD152" t="s">
        <v>48</v>
      </c>
      <c r="AE152" t="s">
        <v>45</v>
      </c>
    </row>
    <row r="153">
      <c r="A153">
        <v>813076</v>
      </c>
      <c r="B153">
        <v>813076</v>
      </c>
      <c r="C153" t="s">
        <v>279</v>
      </c>
      <c r="D153" t="s">
        <v>229</v>
      </c>
      <c r="E153" t="s">
        <v>280</v>
      </c>
      <c r="F153" s="1">
        <v>11.61</v>
      </c>
      <c r="G153" s="2">
        <v>0.6574</v>
      </c>
      <c r="H153" s="2">
        <v>0.79</v>
      </c>
      <c r="I153" s="1">
        <v>19.24</v>
      </c>
      <c r="J153" s="1">
        <f>IF(AND(ISNUMBER(F153),ISNUMBER(H153)),ROUND(F153*(1+H153),2),"")</f>
        <v>20.78</v>
      </c>
      <c r="K153" s="2">
        <f>IF(AND(ISNUMBER(I153),I153&gt;0,ISNUMBER(J153)),J153/I153-1,"")</f>
        <v>0.08004158004158013</v>
      </c>
      <c r="L153" t="s">
        <v>38</v>
      </c>
      <c r="M153" s="1">
        <v>11.66</v>
      </c>
      <c r="N153" s="1">
        <f>IF(AND(ISNUMBER(U153),U153&gt;0,ISNUMBER(J153)),ROUND(J153/U153,2),"")</f>
        <v>12.59</v>
      </c>
      <c r="O153" s="1">
        <v>13</v>
      </c>
      <c r="P153" s="1">
        <v>14.04</v>
      </c>
      <c r="Q153" t="s">
        <v>40</v>
      </c>
      <c r="R153" t="s">
        <v>39</v>
      </c>
      <c r="S153">
        <v>535106</v>
      </c>
      <c r="T153">
        <v>535106</v>
      </c>
      <c r="U153" s="3">
        <v>1.65</v>
      </c>
      <c r="V153" s="1">
        <v>13</v>
      </c>
      <c r="W153" s="1">
        <v>14.04</v>
      </c>
      <c r="X153" t="s">
        <v>240</v>
      </c>
      <c r="Y153" t="s">
        <v>281</v>
      </c>
      <c r="Z153" s="1">
        <v>19.24</v>
      </c>
      <c r="AA153" s="1">
        <f>IF(AND(ISNUMBER(Z153),ISNUMBER(I153),I153&gt;0,ISNUMBER(J153)),ROUND(Z153*J153/I153,2),"")</f>
        <v>20.78</v>
      </c>
      <c r="AB153" t="s">
        <v>42</v>
      </c>
      <c r="AC153" t="s">
        <v>242</v>
      </c>
      <c r="AD153" t="s">
        <v>44</v>
      </c>
      <c r="AE153" t="s">
        <v>45</v>
      </c>
    </row>
    <row r="154">
      <c r="A154">
        <v>813071</v>
      </c>
      <c r="B154">
        <v>813071</v>
      </c>
      <c r="C154" t="s">
        <v>282</v>
      </c>
      <c r="D154" t="s">
        <v>229</v>
      </c>
      <c r="E154" t="s">
        <v>283</v>
      </c>
      <c r="F154" s="1">
        <v>23.75</v>
      </c>
      <c r="G154" s="2">
        <v>0.6574</v>
      </c>
      <c r="H154" s="2">
        <v>0.79</v>
      </c>
      <c r="I154" s="1">
        <v>39.36</v>
      </c>
      <c r="J154" s="1">
        <f>IF(AND(ISNUMBER(F154),ISNUMBER(H154)),ROUND(F154*(1+H154),2),"")</f>
        <v>42.51</v>
      </c>
      <c r="K154" s="2">
        <f>IF(AND(ISNUMBER(I154),I154&gt;0,ISNUMBER(J154)),J154/I154-1,"")</f>
        <v>0.08003048780487809</v>
      </c>
      <c r="L154" t="s">
        <v>38</v>
      </c>
      <c r="M154" s="1">
        <v>17.49</v>
      </c>
      <c r="N154" s="1">
        <f>IF(AND(ISNUMBER(U154),U154&gt;0,ISNUMBER(J154)),ROUND(J154/U154,2),"")</f>
        <v>18.89</v>
      </c>
      <c r="O154" s="1">
        <v>19.5</v>
      </c>
      <c r="P154" s="1">
        <v>21.06</v>
      </c>
      <c r="Q154" t="s">
        <v>40</v>
      </c>
      <c r="R154" t="s">
        <v>39</v>
      </c>
      <c r="S154">
        <v>535101</v>
      </c>
      <c r="T154">
        <v>535101</v>
      </c>
      <c r="U154" s="3">
        <v>2.25</v>
      </c>
      <c r="V154" s="1">
        <v>19.5</v>
      </c>
      <c r="W154" s="1">
        <v>21.06</v>
      </c>
      <c r="X154" t="s">
        <v>240</v>
      </c>
      <c r="Y154" t="s">
        <v>284</v>
      </c>
      <c r="Z154" s="1">
        <v>39.36</v>
      </c>
      <c r="AA154" s="1">
        <f>IF(AND(ISNUMBER(Z154),ISNUMBER(I154),I154&gt;0,ISNUMBER(J154)),ROUND(Z154*J154/I154,2),"")</f>
        <v>42.51</v>
      </c>
      <c r="AB154" t="s">
        <v>42</v>
      </c>
      <c r="AC154" t="s">
        <v>242</v>
      </c>
      <c r="AD154" t="s">
        <v>48</v>
      </c>
      <c r="AE154" t="s">
        <v>45</v>
      </c>
    </row>
    <row r="155">
      <c r="A155">
        <v>894281</v>
      </c>
      <c r="B155">
        <v>894281</v>
      </c>
      <c r="C155" t="s">
        <v>285</v>
      </c>
      <c r="D155" t="s">
        <v>229</v>
      </c>
      <c r="E155" t="s">
        <v>286</v>
      </c>
      <c r="F155" s="1">
        <v>17.94</v>
      </c>
      <c r="G155" s="2">
        <v>0.6574</v>
      </c>
      <c r="H155" s="2">
        <v>0.79</v>
      </c>
      <c r="I155" s="1">
        <v>29.73</v>
      </c>
      <c r="J155" s="1">
        <f>IF(AND(ISNUMBER(F155),ISNUMBER(H155)),ROUND(F155*(1+H155),2),"")</f>
        <v>32.11</v>
      </c>
      <c r="K155" s="2">
        <f>IF(AND(ISNUMBER(I155),I155&gt;0,ISNUMBER(J155)),J155/I155-1,"")</f>
        <v>0.08005381769256648</v>
      </c>
      <c r="L155" t="s">
        <v>38</v>
      </c>
      <c r="M155" s="1">
        <v>17.49</v>
      </c>
      <c r="N155" s="1">
        <f>IF(AND(ISNUMBER(U155),U155&gt;0,ISNUMBER(J155)),ROUND(J155/U155,2),"")</f>
        <v>18.89</v>
      </c>
      <c r="O155" s="1">
        <v>19.5</v>
      </c>
      <c r="P155" s="1">
        <v>21.06</v>
      </c>
      <c r="Q155" t="s">
        <v>40</v>
      </c>
      <c r="R155" t="s">
        <v>39</v>
      </c>
      <c r="S155">
        <v>634544</v>
      </c>
      <c r="T155">
        <v>634544</v>
      </c>
      <c r="U155" s="3">
        <v>1.7</v>
      </c>
      <c r="V155" s="1">
        <v>19.5</v>
      </c>
      <c r="W155" s="1">
        <v>21.06</v>
      </c>
      <c r="X155" t="s">
        <v>240</v>
      </c>
      <c r="Y155" t="s">
        <v>287</v>
      </c>
      <c r="Z155" s="1">
        <v>29.73</v>
      </c>
      <c r="AA155" s="1">
        <f>IF(AND(ISNUMBER(Z155),ISNUMBER(I155),I155&gt;0,ISNUMBER(J155)),ROUND(Z155*J155/I155,2),"")</f>
        <v>32.11</v>
      </c>
      <c r="AB155" t="s">
        <v>42</v>
      </c>
      <c r="AC155" t="s">
        <v>242</v>
      </c>
      <c r="AD155" t="s">
        <v>44</v>
      </c>
      <c r="AE155" t="s">
        <v>45</v>
      </c>
    </row>
    <row r="156">
      <c r="A156">
        <v>805667</v>
      </c>
      <c r="B156">
        <v>805667</v>
      </c>
      <c r="C156" t="s">
        <v>288</v>
      </c>
      <c r="D156" t="s">
        <v>229</v>
      </c>
      <c r="E156" t="s">
        <v>289</v>
      </c>
      <c r="F156" s="1">
        <v>12.01</v>
      </c>
      <c r="G156" s="2">
        <v>0.6574</v>
      </c>
      <c r="H156" s="2">
        <v>0.79</v>
      </c>
      <c r="I156" s="1">
        <v>19.91</v>
      </c>
      <c r="J156" s="1">
        <f>IF(AND(ISNUMBER(F156),ISNUMBER(H156)),ROUND(F156*(1+H156),2),"")</f>
        <v>21.5</v>
      </c>
      <c r="K156" s="2">
        <f>IF(AND(ISNUMBER(I156),I156&gt;0,ISNUMBER(J156)),J156/I156-1,"")</f>
        <v>0.07985936715218478</v>
      </c>
      <c r="L156" t="s">
        <v>38</v>
      </c>
      <c r="M156" s="1">
        <v>16.59</v>
      </c>
      <c r="N156" s="1">
        <f>IF(AND(ISNUMBER(U156),U156&gt;0,ISNUMBER(J156)),ROUND(J156/U156,2),"")</f>
        <v>17.92</v>
      </c>
      <c r="O156" s="1">
        <v>18.5</v>
      </c>
      <c r="P156" s="1">
        <v>19.98</v>
      </c>
      <c r="Q156" t="s">
        <v>40</v>
      </c>
      <c r="R156" t="s">
        <v>39</v>
      </c>
      <c r="S156">
        <v>526720</v>
      </c>
      <c r="T156">
        <v>526720</v>
      </c>
      <c r="U156" s="3">
        <v>1.2</v>
      </c>
      <c r="V156" s="1">
        <v>18.5</v>
      </c>
      <c r="W156" s="1">
        <v>19.98</v>
      </c>
      <c r="X156" t="s">
        <v>240</v>
      </c>
      <c r="Y156" t="s">
        <v>290</v>
      </c>
      <c r="Z156" s="1">
        <v>19.91</v>
      </c>
      <c r="AA156" s="1">
        <f>IF(AND(ISNUMBER(Z156),ISNUMBER(I156),I156&gt;0,ISNUMBER(J156)),ROUND(Z156*J156/I156,2),"")</f>
        <v>21.5</v>
      </c>
      <c r="AB156" t="s">
        <v>42</v>
      </c>
      <c r="AC156" t="s">
        <v>242</v>
      </c>
      <c r="AD156" t="s">
        <v>44</v>
      </c>
      <c r="AE156" t="s">
        <v>45</v>
      </c>
    </row>
    <row r="157">
      <c r="A157">
        <v>813067</v>
      </c>
      <c r="B157">
        <v>813067</v>
      </c>
      <c r="C157" t="s">
        <v>291</v>
      </c>
      <c r="D157" t="s">
        <v>229</v>
      </c>
      <c r="E157" t="s">
        <v>292</v>
      </c>
      <c r="F157" s="1">
        <v>12.8</v>
      </c>
      <c r="G157" s="2">
        <v>0.6574</v>
      </c>
      <c r="H157" s="2">
        <v>0.79</v>
      </c>
      <c r="I157" s="1">
        <v>21.21</v>
      </c>
      <c r="J157" s="1">
        <f>IF(AND(ISNUMBER(F157),ISNUMBER(H157)),ROUND(F157*(1+H157),2),"")</f>
        <v>22.91</v>
      </c>
      <c r="K157" s="2">
        <f>IF(AND(ISNUMBER(I157),I157&gt;0,ISNUMBER(J157)),J157/I157-1,"")</f>
        <v>0.0801508722300801</v>
      </c>
      <c r="L157" t="s">
        <v>38</v>
      </c>
      <c r="M157" s="1">
        <v>38.56</v>
      </c>
      <c r="N157" s="1">
        <f>IF(AND(ISNUMBER(U157),U157&gt;0,ISNUMBER(J157)),ROUND(J157/U157,2),"")</f>
        <v>41.65</v>
      </c>
      <c r="O157" s="1">
        <v>42</v>
      </c>
      <c r="P157" s="1">
        <v>45.36</v>
      </c>
      <c r="Q157" t="s">
        <v>40</v>
      </c>
      <c r="R157" t="s">
        <v>39</v>
      </c>
      <c r="S157">
        <v>535097</v>
      </c>
      <c r="T157">
        <v>535097</v>
      </c>
      <c r="U157" s="3">
        <v>0.55</v>
      </c>
      <c r="V157" s="1">
        <v>42</v>
      </c>
      <c r="W157" s="1">
        <v>45.36</v>
      </c>
      <c r="X157" t="s">
        <v>240</v>
      </c>
      <c r="Y157" t="s">
        <v>293</v>
      </c>
      <c r="Z157" s="1">
        <v>21.21</v>
      </c>
      <c r="AA157" s="1">
        <f>IF(AND(ISNUMBER(Z157),ISNUMBER(I157),I157&gt;0,ISNUMBER(J157)),ROUND(Z157*J157/I157,2),"")</f>
        <v>22.91</v>
      </c>
      <c r="AB157" t="s">
        <v>42</v>
      </c>
      <c r="AC157" t="s">
        <v>242</v>
      </c>
      <c r="AD157" t="s">
        <v>44</v>
      </c>
      <c r="AE157" t="s">
        <v>45</v>
      </c>
    </row>
    <row r="158">
      <c r="A158">
        <v>825833</v>
      </c>
      <c r="B158">
        <v>825833</v>
      </c>
      <c r="C158" t="s">
        <v>294</v>
      </c>
      <c r="D158" t="s">
        <v>229</v>
      </c>
      <c r="E158" t="s">
        <v>295</v>
      </c>
      <c r="F158" s="1">
        <v>14.14</v>
      </c>
      <c r="G158" s="2">
        <v>0.6574</v>
      </c>
      <c r="H158" s="2">
        <v>0.79</v>
      </c>
      <c r="I158" s="1">
        <v>23.44</v>
      </c>
      <c r="J158" s="1">
        <f>IF(AND(ISNUMBER(F158),ISNUMBER(H158)),ROUND(F158*(1+H158),2),"")</f>
        <v>25.31</v>
      </c>
      <c r="K158" s="2">
        <f>IF(AND(ISNUMBER(I158),I158&gt;0,ISNUMBER(J158)),J158/I158-1,"")</f>
        <v>0.07977815699658697</v>
      </c>
      <c r="L158" t="s">
        <v>38</v>
      </c>
      <c r="M158" s="1">
        <v>8.52</v>
      </c>
      <c r="N158" s="1">
        <f>IF(AND(ISNUMBER(U158),U158&gt;0,ISNUMBER(J158)),ROUND(J158/U158,2),"")</f>
        <v>9.2</v>
      </c>
      <c r="O158" s="1">
        <v>9.5</v>
      </c>
      <c r="P158" s="1">
        <v>10.26</v>
      </c>
      <c r="Q158" t="s">
        <v>40</v>
      </c>
      <c r="R158" t="s">
        <v>39</v>
      </c>
      <c r="S158">
        <v>549812</v>
      </c>
      <c r="T158">
        <v>549812</v>
      </c>
      <c r="U158" s="3">
        <v>2.75</v>
      </c>
      <c r="V158" s="1">
        <v>9.5</v>
      </c>
      <c r="W158" s="1">
        <v>10.26</v>
      </c>
      <c r="X158" t="s">
        <v>240</v>
      </c>
      <c r="Y158" t="s">
        <v>296</v>
      </c>
      <c r="Z158" s="1">
        <v>23.44</v>
      </c>
      <c r="AA158" s="1">
        <f>IF(AND(ISNUMBER(Z158),ISNUMBER(I158),I158&gt;0,ISNUMBER(J158)),ROUND(Z158*J158/I158,2),"")</f>
        <v>25.31</v>
      </c>
      <c r="AB158" t="s">
        <v>42</v>
      </c>
      <c r="AC158" t="s">
        <v>242</v>
      </c>
      <c r="AD158" t="s">
        <v>44</v>
      </c>
      <c r="AE158" t="s">
        <v>45</v>
      </c>
    </row>
    <row r="159">
      <c r="A159">
        <v>869027</v>
      </c>
      <c r="B159">
        <v>869027</v>
      </c>
      <c r="C159" t="s">
        <v>297</v>
      </c>
      <c r="D159" t="s">
        <v>229</v>
      </c>
      <c r="E159" t="s">
        <v>298</v>
      </c>
      <c r="F159" s="1">
        <v>23.3</v>
      </c>
      <c r="G159" s="2">
        <v>0.6574</v>
      </c>
      <c r="H159" s="2">
        <v>0.79</v>
      </c>
      <c r="I159" s="1">
        <v>38.62</v>
      </c>
      <c r="J159" s="1">
        <f>IF(AND(ISNUMBER(F159),ISNUMBER(H159)),ROUND(F159*(1+H159),2),"")</f>
        <v>41.71</v>
      </c>
      <c r="K159" s="2">
        <f>IF(AND(ISNUMBER(I159),I159&gt;0,ISNUMBER(J159)),J159/I159-1,"")</f>
        <v>0.08001035732780948</v>
      </c>
      <c r="L159" t="s">
        <v>38</v>
      </c>
      <c r="M159" s="1">
        <v>18.84</v>
      </c>
      <c r="N159" s="1">
        <f>IF(AND(ISNUMBER(U159),U159&gt;0,ISNUMBER(J159)),ROUND(J159/U159,2),"")</f>
        <v>20.35</v>
      </c>
      <c r="O159" s="1">
        <v>21</v>
      </c>
      <c r="P159" s="1">
        <v>22.68</v>
      </c>
      <c r="Q159" t="s">
        <v>40</v>
      </c>
      <c r="R159" t="s">
        <v>39</v>
      </c>
      <c r="S159">
        <v>600217</v>
      </c>
      <c r="T159">
        <v>600217</v>
      </c>
      <c r="U159" s="3">
        <v>2.05</v>
      </c>
      <c r="V159" s="1">
        <v>21</v>
      </c>
      <c r="W159" s="1">
        <v>22.68</v>
      </c>
      <c r="X159" t="s">
        <v>240</v>
      </c>
      <c r="Y159" t="s">
        <v>299</v>
      </c>
      <c r="Z159" s="1">
        <v>38.62</v>
      </c>
      <c r="AA159" s="1">
        <f>IF(AND(ISNUMBER(Z159),ISNUMBER(I159),I159&gt;0,ISNUMBER(J159)),ROUND(Z159*J159/I159,2),"")</f>
        <v>41.71</v>
      </c>
      <c r="AB159" t="s">
        <v>42</v>
      </c>
      <c r="AC159" t="s">
        <v>242</v>
      </c>
      <c r="AD159" t="s">
        <v>48</v>
      </c>
      <c r="AE159" t="s">
        <v>45</v>
      </c>
    </row>
    <row r="160">
      <c r="A160">
        <v>813084</v>
      </c>
      <c r="B160">
        <v>813084</v>
      </c>
      <c r="C160" t="s">
        <v>300</v>
      </c>
      <c r="D160" t="s">
        <v>229</v>
      </c>
      <c r="E160" t="s">
        <v>212</v>
      </c>
      <c r="F160" s="1">
        <v>10.55</v>
      </c>
      <c r="G160" s="2">
        <v>0.6574</v>
      </c>
      <c r="H160" s="2">
        <v>0.79</v>
      </c>
      <c r="I160" s="1">
        <v>17.49</v>
      </c>
      <c r="J160" s="1">
        <f>IF(AND(ISNUMBER(F160),ISNUMBER(H160)),ROUND(F160*(1+H160),2),"")</f>
        <v>18.88</v>
      </c>
      <c r="K160" s="2">
        <f>IF(AND(ISNUMBER(I160),I160&gt;0,ISNUMBER(J160)),J160/I160-1,"")</f>
        <v>0.07947398513436243</v>
      </c>
      <c r="L160" t="s">
        <v>38</v>
      </c>
      <c r="M160" s="1">
        <v>23.32</v>
      </c>
      <c r="N160" s="1">
        <f>IF(AND(ISNUMBER(U160),U160&gt;0,ISNUMBER(J160)),ROUND(J160/U160,2),"")</f>
        <v>25.17</v>
      </c>
      <c r="O160" s="1">
        <v>26</v>
      </c>
      <c r="P160" s="1">
        <v>28.08</v>
      </c>
      <c r="Q160" t="s">
        <v>40</v>
      </c>
      <c r="R160" t="s">
        <v>39</v>
      </c>
      <c r="S160">
        <v>535115</v>
      </c>
      <c r="T160">
        <v>535115</v>
      </c>
      <c r="U160" s="3">
        <v>0.75</v>
      </c>
      <c r="V160" s="1">
        <v>19.5</v>
      </c>
      <c r="W160" s="1">
        <v>21.06</v>
      </c>
      <c r="X160" t="s">
        <v>244</v>
      </c>
      <c r="Y160" t="s">
        <v>301</v>
      </c>
      <c r="Z160" s="1">
        <v>17.49</v>
      </c>
      <c r="AA160" s="1">
        <f>IF(AND(ISNUMBER(Z160),ISNUMBER(I160),I160&gt;0,ISNUMBER(J160)),ROUND(Z160*J160/I160,2),"")</f>
        <v>18.88</v>
      </c>
      <c r="AB160" t="s">
        <v>42</v>
      </c>
      <c r="AC160" t="s">
        <v>246</v>
      </c>
      <c r="AD160" t="s">
        <v>44</v>
      </c>
      <c r="AE160" t="s">
        <v>45</v>
      </c>
    </row>
    <row r="161">
      <c r="A161">
        <v>856878</v>
      </c>
      <c r="B161">
        <v>856878</v>
      </c>
      <c r="C161" t="s">
        <v>302</v>
      </c>
      <c r="D161" t="s">
        <v>229</v>
      </c>
      <c r="E161" t="s">
        <v>303</v>
      </c>
      <c r="F161" s="1">
        <v>38.97</v>
      </c>
      <c r="G161" s="2">
        <v>0.6574</v>
      </c>
      <c r="H161" s="2">
        <v>0.79</v>
      </c>
      <c r="I161" s="1">
        <v>64.59</v>
      </c>
      <c r="J161" s="1">
        <f>IF(AND(ISNUMBER(F161),ISNUMBER(H161)),ROUND(F161*(1+H161),2),"")</f>
        <v>69.76</v>
      </c>
      <c r="K161" s="2">
        <f>IF(AND(ISNUMBER(I161),I161&gt;0,ISNUMBER(J161)),J161/I161-1,"")</f>
        <v>0.08004335036383337</v>
      </c>
      <c r="L161" t="s">
        <v>38</v>
      </c>
      <c r="M161" s="1">
        <v>14.35</v>
      </c>
      <c r="N161" s="1">
        <f>IF(AND(ISNUMBER(U161),U161&gt;0,ISNUMBER(J161)),ROUND(J161/U161,2),"")</f>
        <v>15.5</v>
      </c>
      <c r="O161" s="1">
        <v>16</v>
      </c>
      <c r="P161" s="1">
        <v>17.28</v>
      </c>
      <c r="Q161" t="s">
        <v>40</v>
      </c>
      <c r="R161" t="s">
        <v>39</v>
      </c>
      <c r="S161">
        <v>677923</v>
      </c>
      <c r="T161">
        <v>677923</v>
      </c>
      <c r="U161" s="3">
        <v>4.5</v>
      </c>
      <c r="V161" s="1">
        <v>16</v>
      </c>
      <c r="W161" s="1">
        <v>17.28</v>
      </c>
      <c r="X161" t="s">
        <v>240</v>
      </c>
      <c r="Y161" t="s">
        <v>304</v>
      </c>
      <c r="Z161" s="1">
        <v>64.59</v>
      </c>
      <c r="AA161" s="1">
        <f>IF(AND(ISNUMBER(Z161),ISNUMBER(I161),I161&gt;0,ISNUMBER(J161)),ROUND(Z161*J161/I161,2),"")</f>
        <v>69.76</v>
      </c>
      <c r="AB161" t="s">
        <v>42</v>
      </c>
      <c r="AC161" t="s">
        <v>242</v>
      </c>
      <c r="AD161" t="s">
        <v>48</v>
      </c>
      <c r="AE161" t="s">
        <v>45</v>
      </c>
    </row>
    <row r="162">
      <c r="A162">
        <v>941001</v>
      </c>
      <c r="B162">
        <v>941001</v>
      </c>
      <c r="C162" t="s">
        <v>305</v>
      </c>
      <c r="D162" t="s">
        <v>229</v>
      </c>
      <c r="E162" t="s">
        <v>306</v>
      </c>
      <c r="F162" s="1">
        <v>32.16</v>
      </c>
      <c r="G162" s="2">
        <v>0.6574</v>
      </c>
      <c r="H162" s="2">
        <v>0.79</v>
      </c>
      <c r="I162" s="1">
        <v>53.3</v>
      </c>
      <c r="J162" s="1">
        <f>IF(AND(ISNUMBER(F162),ISNUMBER(H162)),ROUND(F162*(1+H162),2),"")</f>
        <v>57.57</v>
      </c>
      <c r="K162" s="2">
        <f>IF(AND(ISNUMBER(I162),I162&gt;0,ISNUMBER(J162)),J162/I162-1,"")</f>
        <v>0.0801125703564729</v>
      </c>
      <c r="L162" t="s">
        <v>38</v>
      </c>
      <c r="M162" s="1">
        <v>15.25</v>
      </c>
      <c r="N162" s="1">
        <f>IF(AND(ISNUMBER(U162),U162&gt;0,ISNUMBER(J162)),ROUND(J162/U162,2),"")</f>
        <v>16.47</v>
      </c>
      <c r="O162" s="1">
        <v>17</v>
      </c>
      <c r="P162" s="1">
        <v>18.36</v>
      </c>
      <c r="Q162" t="s">
        <v>40</v>
      </c>
      <c r="R162" t="s">
        <v>39</v>
      </c>
      <c r="S162">
        <v>694997</v>
      </c>
      <c r="T162">
        <v>694997</v>
      </c>
      <c r="U162" s="3">
        <v>3.495</v>
      </c>
      <c r="V162" s="1">
        <v>17</v>
      </c>
      <c r="W162" s="1">
        <v>18.36</v>
      </c>
      <c r="X162" t="s">
        <v>240</v>
      </c>
      <c r="Y162" t="s">
        <v>307</v>
      </c>
      <c r="Z162" s="1">
        <v>53.3</v>
      </c>
      <c r="AA162" s="1">
        <f>IF(AND(ISNUMBER(Z162),ISNUMBER(I162),I162&gt;0,ISNUMBER(J162)),ROUND(Z162*J162/I162,2),"")</f>
        <v>57.57</v>
      </c>
      <c r="AB162" t="s">
        <v>42</v>
      </c>
      <c r="AC162" t="s">
        <v>242</v>
      </c>
      <c r="AD162" t="s">
        <v>44</v>
      </c>
      <c r="AE162" t="s">
        <v>45</v>
      </c>
    </row>
    <row r="163">
      <c r="A163">
        <v>941002</v>
      </c>
      <c r="B163">
        <v>941002</v>
      </c>
      <c r="C163" t="s">
        <v>308</v>
      </c>
      <c r="D163" t="s">
        <v>229</v>
      </c>
      <c r="E163" t="s">
        <v>309</v>
      </c>
      <c r="F163" s="1">
        <v>25.77</v>
      </c>
      <c r="G163" s="2">
        <v>0.6574</v>
      </c>
      <c r="H163" s="2">
        <v>0.79</v>
      </c>
      <c r="I163" s="1">
        <v>42.71</v>
      </c>
      <c r="J163" s="1">
        <f>IF(AND(ISNUMBER(F163),ISNUMBER(H163)),ROUND(F163*(1+H163),2),"")</f>
        <v>46.13</v>
      </c>
      <c r="K163" s="2">
        <f>IF(AND(ISNUMBER(I163),I163&gt;0,ISNUMBER(J163)),J163/I163-1,"")</f>
        <v>0.0800749239054086</v>
      </c>
      <c r="L163" t="s">
        <v>38</v>
      </c>
      <c r="M163" s="1">
        <v>16.15</v>
      </c>
      <c r="N163" s="1">
        <f>IF(AND(ISNUMBER(U163),U163&gt;0,ISNUMBER(J163)),ROUND(J163/U163,2),"")</f>
        <v>17.44</v>
      </c>
      <c r="Q163" t="s">
        <v>40</v>
      </c>
      <c r="R163" t="s">
        <v>39</v>
      </c>
      <c r="S163">
        <v>694998</v>
      </c>
      <c r="T163">
        <v>694998</v>
      </c>
      <c r="U163" s="3">
        <v>2.645</v>
      </c>
      <c r="X163" t="s">
        <v>41</v>
      </c>
      <c r="Z163" s="1">
        <v>42.71</v>
      </c>
      <c r="AA163" s="1">
        <f>IF(AND(ISNUMBER(Z163),ISNUMBER(I163),I163&gt;0,ISNUMBER(J163)),ROUND(Z163*J163/I163,2),"")</f>
        <v>46.13</v>
      </c>
      <c r="AB163" t="s">
        <v>42</v>
      </c>
      <c r="AC163" t="s">
        <v>43</v>
      </c>
      <c r="AD163" t="s">
        <v>44</v>
      </c>
      <c r="AE163" t="s">
        <v>45</v>
      </c>
    </row>
    <row r="164">
      <c r="A164">
        <v>910774</v>
      </c>
      <c r="B164">
        <v>910774</v>
      </c>
      <c r="C164" t="s">
        <v>310</v>
      </c>
      <c r="D164" t="s">
        <v>229</v>
      </c>
      <c r="E164" t="s">
        <v>311</v>
      </c>
      <c r="F164" s="1">
        <v>62.24</v>
      </c>
      <c r="G164" s="2">
        <v>0.6574550128534704</v>
      </c>
      <c r="H164" s="2">
        <v>0.7901</v>
      </c>
      <c r="I164" s="1">
        <v>103.16</v>
      </c>
      <c r="J164" s="1">
        <f>IF(AND(ISNUMBER(F164),ISNUMBER(H164)),ROUND(F164*(1+H164),2),"")</f>
        <v>111.42</v>
      </c>
      <c r="K164" s="2">
        <f>IF(AND(ISNUMBER(I164),I164&gt;0,ISNUMBER(J164)),J164/I164-1,"")</f>
        <v>0.08006979449398988</v>
      </c>
      <c r="L164" t="s">
        <v>38</v>
      </c>
      <c r="M164" s="1">
        <v>7.93</v>
      </c>
      <c r="N164" s="1">
        <f>IF(AND(ISNUMBER(U164),U164&gt;0,ISNUMBER(J164)),ROUND(J164/U164,2),"")</f>
        <v>8.57</v>
      </c>
      <c r="O164" s="1">
        <v>8.84</v>
      </c>
      <c r="P164" s="1">
        <v>9.55</v>
      </c>
      <c r="Q164" t="s">
        <v>40</v>
      </c>
      <c r="R164" t="s">
        <v>39</v>
      </c>
      <c r="S164">
        <v>655862</v>
      </c>
      <c r="T164">
        <v>655862</v>
      </c>
      <c r="U164" s="3">
        <v>13.004999999999999</v>
      </c>
      <c r="V164" s="1">
        <v>115</v>
      </c>
      <c r="W164" s="1">
        <v>124.2</v>
      </c>
      <c r="X164" t="s">
        <v>244</v>
      </c>
      <c r="Y164" t="s">
        <v>312</v>
      </c>
      <c r="Z164" s="1">
        <v>103.16</v>
      </c>
      <c r="AA164" s="1">
        <f>IF(AND(ISNUMBER(Z164),ISNUMBER(I164),I164&gt;0,ISNUMBER(J164)),ROUND(Z164*J164/I164,2),"")</f>
        <v>111.42</v>
      </c>
      <c r="AB164" t="s">
        <v>313</v>
      </c>
      <c r="AC164" t="s">
        <v>314</v>
      </c>
      <c r="AD164" t="s">
        <v>44</v>
      </c>
      <c r="AE164" t="s">
        <v>45</v>
      </c>
    </row>
    <row r="165">
      <c r="A165">
        <v>910775</v>
      </c>
      <c r="B165">
        <v>910775</v>
      </c>
      <c r="C165" t="s">
        <v>315</v>
      </c>
      <c r="D165" t="s">
        <v>229</v>
      </c>
      <c r="E165" t="s">
        <v>316</v>
      </c>
      <c r="F165" s="1">
        <v>70.36</v>
      </c>
      <c r="G165" s="2">
        <v>0.6573337123365548</v>
      </c>
      <c r="H165" s="2">
        <v>0.7899</v>
      </c>
      <c r="I165" s="1">
        <v>116.61</v>
      </c>
      <c r="J165" s="1">
        <f>IF(AND(ISNUMBER(F165),ISNUMBER(H165)),ROUND(F165*(1+H165),2),"")</f>
        <v>125.94</v>
      </c>
      <c r="K165" s="2">
        <f>IF(AND(ISNUMBER(I165),I165&gt;0,ISNUMBER(J165)),J165/I165-1,"")</f>
        <v>0.08001029071263188</v>
      </c>
      <c r="L165" t="s">
        <v>38</v>
      </c>
      <c r="M165" s="1">
        <v>7.77</v>
      </c>
      <c r="N165" s="1">
        <f>IF(AND(ISNUMBER(U165),U165&gt;0,ISNUMBER(J165)),ROUND(J165/U165,2),"")</f>
        <v>8.39</v>
      </c>
      <c r="Q165" t="s">
        <v>40</v>
      </c>
      <c r="R165" t="s">
        <v>39</v>
      </c>
      <c r="S165">
        <v>655863</v>
      </c>
      <c r="T165">
        <v>655863</v>
      </c>
      <c r="U165" s="3">
        <v>15.004999999999999</v>
      </c>
      <c r="X165" t="s">
        <v>41</v>
      </c>
      <c r="Z165" s="1">
        <v>116.61</v>
      </c>
      <c r="AA165" s="1">
        <f>IF(AND(ISNUMBER(Z165),ISNUMBER(I165),I165&gt;0,ISNUMBER(J165)),ROUND(Z165*J165/I165,2),"")</f>
        <v>125.94</v>
      </c>
      <c r="AB165" t="s">
        <v>317</v>
      </c>
      <c r="AC165" t="s">
        <v>318</v>
      </c>
      <c r="AD165" t="s">
        <v>44</v>
      </c>
      <c r="AE165" t="s">
        <v>45</v>
      </c>
    </row>
    <row r="166">
      <c r="A166">
        <v>1008413</v>
      </c>
      <c r="B166">
        <v>1008413</v>
      </c>
      <c r="C166" t="s">
        <v>319</v>
      </c>
      <c r="D166" t="s">
        <v>229</v>
      </c>
      <c r="E166" t="s">
        <v>320</v>
      </c>
      <c r="F166" s="1">
        <v>51.41</v>
      </c>
      <c r="G166" s="2">
        <v>0.6574596382026843</v>
      </c>
      <c r="H166" s="2">
        <v>0.7901</v>
      </c>
      <c r="I166" s="1">
        <v>85.21</v>
      </c>
      <c r="J166" s="1">
        <f>IF(AND(ISNUMBER(F166),ISNUMBER(H166)),ROUND(F166*(1+H166),2),"")</f>
        <v>92.03</v>
      </c>
      <c r="K166" s="2">
        <f>IF(AND(ISNUMBER(I166),I166&gt;0,ISNUMBER(J166)),J166/I166-1,"")</f>
        <v>0.08003755427766701</v>
      </c>
      <c r="L166" t="s">
        <v>38</v>
      </c>
      <c r="M166" s="1">
        <v>8.12</v>
      </c>
      <c r="N166" s="1">
        <f>IF(AND(ISNUMBER(U166),U166&gt;0,ISNUMBER(J166)),ROUND(J166/U166,2),"")</f>
        <v>8.76</v>
      </c>
      <c r="Q166" t="s">
        <v>40</v>
      </c>
      <c r="R166" t="s">
        <v>39</v>
      </c>
      <c r="S166">
        <v>789842</v>
      </c>
      <c r="T166">
        <v>789842</v>
      </c>
      <c r="U166" s="3">
        <v>10.5</v>
      </c>
      <c r="X166" t="s">
        <v>41</v>
      </c>
      <c r="Z166" s="1">
        <v>85.21</v>
      </c>
      <c r="AA166" s="1">
        <f>IF(AND(ISNUMBER(Z166),ISNUMBER(I166),I166&gt;0,ISNUMBER(J166)),ROUND(Z166*J166/I166,2),"")</f>
        <v>92.03</v>
      </c>
      <c r="AB166" t="s">
        <v>321</v>
      </c>
      <c r="AC166" t="s">
        <v>318</v>
      </c>
      <c r="AD166" t="s">
        <v>44</v>
      </c>
      <c r="AE166" t="s">
        <v>45</v>
      </c>
    </row>
    <row r="167">
      <c r="A167">
        <v>813079</v>
      </c>
      <c r="B167">
        <v>813079</v>
      </c>
      <c r="C167" t="s">
        <v>322</v>
      </c>
      <c r="D167" t="s">
        <v>229</v>
      </c>
      <c r="E167" t="s">
        <v>323</v>
      </c>
      <c r="F167" s="1">
        <v>5.14</v>
      </c>
      <c r="G167" s="2">
        <v>0.6574</v>
      </c>
      <c r="H167" s="2">
        <v>0.79</v>
      </c>
      <c r="I167" s="1">
        <v>8.52</v>
      </c>
      <c r="J167" s="1">
        <f>IF(AND(ISNUMBER(F167),ISNUMBER(H167)),ROUND(F167*(1+H167),2),"")</f>
        <v>9.2</v>
      </c>
      <c r="K167" s="2">
        <f>IF(AND(ISNUMBER(I167),I167&gt;0,ISNUMBER(J167)),J167/I167-1,"")</f>
        <v>0.07981220657277</v>
      </c>
      <c r="L167" t="s">
        <v>38</v>
      </c>
      <c r="M167" s="1">
        <v>8.52</v>
      </c>
      <c r="N167" s="1">
        <f>IF(AND(ISNUMBER(U167),U167&gt;0,ISNUMBER(J167)),ROUND(J167/U167,2),"")</f>
        <v>9.2</v>
      </c>
      <c r="Q167" t="s">
        <v>40</v>
      </c>
      <c r="R167" t="s">
        <v>39</v>
      </c>
      <c r="S167">
        <v>642344</v>
      </c>
      <c r="T167">
        <v>642344</v>
      </c>
      <c r="U167" s="3">
        <v>1</v>
      </c>
      <c r="X167" t="s">
        <v>41</v>
      </c>
      <c r="Z167" s="1">
        <v>8.52</v>
      </c>
      <c r="AA167" s="1">
        <f>IF(AND(ISNUMBER(Z167),ISNUMBER(I167),I167&gt;0,ISNUMBER(J167)),ROUND(Z167*J167/I167,2),"")</f>
        <v>9.2</v>
      </c>
      <c r="AB167" t="s">
        <v>42</v>
      </c>
      <c r="AC167" t="s">
        <v>43</v>
      </c>
      <c r="AD167" t="s">
        <v>44</v>
      </c>
      <c r="AE167" t="s">
        <v>45</v>
      </c>
    </row>
    <row r="168">
      <c r="A168">
        <v>818959</v>
      </c>
      <c r="B168">
        <v>818959</v>
      </c>
      <c r="C168" t="s">
        <v>324</v>
      </c>
      <c r="D168" t="s">
        <v>229</v>
      </c>
      <c r="E168" t="s">
        <v>325</v>
      </c>
      <c r="F168" s="1">
        <v>6.5</v>
      </c>
      <c r="G168" s="2">
        <v>0.6574</v>
      </c>
      <c r="H168" s="2">
        <v>0.79</v>
      </c>
      <c r="I168" s="1">
        <v>10.77</v>
      </c>
      <c r="J168" s="1">
        <f>IF(AND(ISNUMBER(F168),ISNUMBER(H168)),ROUND(F168*(1+H168),2),"")</f>
        <v>11.63</v>
      </c>
      <c r="K168" s="2">
        <f>IF(AND(ISNUMBER(I168),I168&gt;0,ISNUMBER(J168)),J168/I168-1,"")</f>
        <v>0.0798514391829157</v>
      </c>
      <c r="L168" t="s">
        <v>38</v>
      </c>
      <c r="M168" s="1">
        <v>21.54</v>
      </c>
      <c r="N168" s="1">
        <f>IF(AND(ISNUMBER(U168),U168&gt;0,ISNUMBER(J168)),ROUND(J168/U168,2),"")</f>
        <v>23.26</v>
      </c>
      <c r="Q168" t="s">
        <v>40</v>
      </c>
      <c r="R168" t="s">
        <v>39</v>
      </c>
      <c r="S168">
        <v>541749</v>
      </c>
      <c r="T168">
        <v>541749</v>
      </c>
      <c r="U168" s="3">
        <v>0.5</v>
      </c>
      <c r="X168" t="s">
        <v>41</v>
      </c>
      <c r="Z168" s="1">
        <v>10.77</v>
      </c>
      <c r="AA168" s="1">
        <f>IF(AND(ISNUMBER(Z168),ISNUMBER(I168),I168&gt;0,ISNUMBER(J168)),ROUND(Z168*J168/I168,2),"")</f>
        <v>11.63</v>
      </c>
      <c r="AB168" t="s">
        <v>42</v>
      </c>
      <c r="AC168" t="s">
        <v>43</v>
      </c>
      <c r="AD168" t="s">
        <v>48</v>
      </c>
      <c r="AE168" t="s">
        <v>45</v>
      </c>
    </row>
    <row r="169">
      <c r="A169">
        <v>818957</v>
      </c>
      <c r="B169">
        <v>818957</v>
      </c>
      <c r="C169" t="s">
        <v>326</v>
      </c>
      <c r="D169" t="s">
        <v>229</v>
      </c>
      <c r="E169" t="s">
        <v>147</v>
      </c>
      <c r="F169" s="1">
        <v>5.14</v>
      </c>
      <c r="G169" s="2">
        <v>0.66</v>
      </c>
      <c r="H169" s="2">
        <v>0.7928</v>
      </c>
      <c r="I169" s="1">
        <v>8.53</v>
      </c>
      <c r="J169" s="1">
        <f>IF(AND(ISNUMBER(F169),ISNUMBER(H169)),ROUND(F169*(1+H169),2),"")</f>
        <v>9.21</v>
      </c>
      <c r="K169" s="2">
        <f>IF(AND(ISNUMBER(I169),I169&gt;0,ISNUMBER(J169)),J169/I169-1,"")</f>
        <v>0.07971864009378682</v>
      </c>
      <c r="L169" t="s">
        <v>38</v>
      </c>
      <c r="M169" s="1">
        <v>17.06</v>
      </c>
      <c r="N169" s="1">
        <f>IF(AND(ISNUMBER(U169),U169&gt;0,ISNUMBER(J169)),ROUND(J169/U169,2),"")</f>
        <v>18.42</v>
      </c>
      <c r="Q169" t="s">
        <v>40</v>
      </c>
      <c r="R169" t="s">
        <v>39</v>
      </c>
      <c r="S169">
        <v>541747</v>
      </c>
      <c r="T169">
        <v>541747</v>
      </c>
      <c r="U169" s="3">
        <v>0.5</v>
      </c>
      <c r="X169" t="s">
        <v>41</v>
      </c>
      <c r="Z169" s="1">
        <v>8.53</v>
      </c>
      <c r="AA169" s="1">
        <f>IF(AND(ISNUMBER(Z169),ISNUMBER(I169),I169&gt;0,ISNUMBER(J169)),ROUND(Z169*J169/I169,2),"")</f>
        <v>9.21</v>
      </c>
      <c r="AB169" t="s">
        <v>42</v>
      </c>
      <c r="AC169" t="s">
        <v>43</v>
      </c>
      <c r="AD169" t="s">
        <v>44</v>
      </c>
      <c r="AE169" t="s">
        <v>45</v>
      </c>
    </row>
    <row r="170">
      <c r="A170">
        <v>805677</v>
      </c>
      <c r="B170">
        <v>805677</v>
      </c>
      <c r="C170" t="s">
        <v>327</v>
      </c>
      <c r="D170" t="s">
        <v>229</v>
      </c>
      <c r="E170" t="s">
        <v>147</v>
      </c>
      <c r="F170" s="1">
        <v>5.14</v>
      </c>
      <c r="G170" s="2">
        <v>0.6574</v>
      </c>
      <c r="H170" s="2">
        <v>0.79</v>
      </c>
      <c r="I170" s="1">
        <v>8.52</v>
      </c>
      <c r="J170" s="1">
        <f>IF(AND(ISNUMBER(F170),ISNUMBER(H170)),ROUND(F170*(1+H170),2),"")</f>
        <v>9.2</v>
      </c>
      <c r="K170" s="2">
        <f>IF(AND(ISNUMBER(I170),I170&gt;0,ISNUMBER(J170)),J170/I170-1,"")</f>
        <v>0.07981220657277</v>
      </c>
      <c r="L170" t="s">
        <v>38</v>
      </c>
      <c r="M170" s="1">
        <v>17.04</v>
      </c>
      <c r="N170" s="1">
        <f>IF(AND(ISNUMBER(U170),U170&gt;0,ISNUMBER(J170)),ROUND(J170/U170,2),"")</f>
        <v>18.4</v>
      </c>
      <c r="Q170" t="s">
        <v>40</v>
      </c>
      <c r="R170" t="s">
        <v>39</v>
      </c>
      <c r="S170">
        <v>526730</v>
      </c>
      <c r="T170">
        <v>526730</v>
      </c>
      <c r="U170" s="3">
        <v>0.5</v>
      </c>
      <c r="X170" t="s">
        <v>41</v>
      </c>
      <c r="Z170" s="1">
        <v>8.52</v>
      </c>
      <c r="AA170" s="1">
        <f>IF(AND(ISNUMBER(Z170),ISNUMBER(I170),I170&gt;0,ISNUMBER(J170)),ROUND(Z170*J170/I170,2),"")</f>
        <v>9.2</v>
      </c>
      <c r="AB170" t="s">
        <v>42</v>
      </c>
      <c r="AC170" t="s">
        <v>43</v>
      </c>
      <c r="AD170" t="s">
        <v>44</v>
      </c>
      <c r="AE170" t="s">
        <v>45</v>
      </c>
    </row>
    <row r="171">
      <c r="A171">
        <v>805669</v>
      </c>
      <c r="B171">
        <v>805669</v>
      </c>
      <c r="C171" t="s">
        <v>328</v>
      </c>
      <c r="D171" t="s">
        <v>229</v>
      </c>
      <c r="E171" t="s">
        <v>329</v>
      </c>
      <c r="F171" s="1">
        <v>9.74</v>
      </c>
      <c r="G171" s="2">
        <v>0.6574</v>
      </c>
      <c r="H171" s="2">
        <v>0.79</v>
      </c>
      <c r="I171" s="1">
        <v>16.14</v>
      </c>
      <c r="J171" s="1">
        <f>IF(AND(ISNUMBER(F171),ISNUMBER(H171)),ROUND(F171*(1+H171),2),"")</f>
        <v>17.43</v>
      </c>
      <c r="K171" s="2">
        <f>IF(AND(ISNUMBER(I171),I171&gt;0,ISNUMBER(J171)),J171/I171-1,"")</f>
        <v>0.07992565055762069</v>
      </c>
      <c r="L171" t="s">
        <v>38</v>
      </c>
      <c r="M171" s="1">
        <v>10.76</v>
      </c>
      <c r="N171" s="1">
        <f>IF(AND(ISNUMBER(U171),U171&gt;0,ISNUMBER(J171)),ROUND(J171/U171,2),"")</f>
        <v>11.62</v>
      </c>
      <c r="O171" s="1">
        <v>12</v>
      </c>
      <c r="P171" s="1">
        <v>12.96</v>
      </c>
      <c r="Q171" t="s">
        <v>40</v>
      </c>
      <c r="R171" t="s">
        <v>39</v>
      </c>
      <c r="S171">
        <v>526722</v>
      </c>
      <c r="T171">
        <v>526722</v>
      </c>
      <c r="U171" s="3">
        <v>1.5</v>
      </c>
      <c r="V171" s="1">
        <v>12</v>
      </c>
      <c r="W171" s="1">
        <v>12.96</v>
      </c>
      <c r="X171" t="s">
        <v>240</v>
      </c>
      <c r="Y171" t="s">
        <v>330</v>
      </c>
      <c r="Z171" s="1">
        <v>16.14</v>
      </c>
      <c r="AA171" s="1">
        <f>IF(AND(ISNUMBER(Z171),ISNUMBER(I171),I171&gt;0,ISNUMBER(J171)),ROUND(Z171*J171/I171,2),"")</f>
        <v>17.43</v>
      </c>
      <c r="AB171" t="s">
        <v>42</v>
      </c>
      <c r="AC171" t="s">
        <v>242</v>
      </c>
      <c r="AD171" t="s">
        <v>44</v>
      </c>
      <c r="AE171" t="s">
        <v>45</v>
      </c>
    </row>
    <row r="172">
      <c r="A172">
        <v>805676</v>
      </c>
      <c r="B172">
        <v>805676</v>
      </c>
      <c r="C172" t="s">
        <v>331</v>
      </c>
      <c r="D172" t="s">
        <v>229</v>
      </c>
      <c r="E172" t="s">
        <v>332</v>
      </c>
      <c r="F172" s="1">
        <v>8.12</v>
      </c>
      <c r="G172" s="2">
        <v>0.6574</v>
      </c>
      <c r="H172" s="2">
        <v>0.79</v>
      </c>
      <c r="I172" s="1">
        <v>13.46</v>
      </c>
      <c r="J172" s="1">
        <f>IF(AND(ISNUMBER(F172),ISNUMBER(H172)),ROUND(F172*(1+H172),2),"")</f>
        <v>14.53</v>
      </c>
      <c r="K172" s="2">
        <f>IF(AND(ISNUMBER(I172),I172&gt;0,ISNUMBER(J172)),J172/I172-1,"")</f>
        <v>0.0794947994056463</v>
      </c>
      <c r="L172" t="s">
        <v>38</v>
      </c>
      <c r="M172" s="1">
        <v>10.77</v>
      </c>
      <c r="N172" s="1">
        <f>IF(AND(ISNUMBER(U172),U172&gt;0,ISNUMBER(J172)),ROUND(J172/U172,2),"")</f>
        <v>11.62</v>
      </c>
      <c r="Q172" t="s">
        <v>40</v>
      </c>
      <c r="R172" t="s">
        <v>39</v>
      </c>
      <c r="S172">
        <v>526729</v>
      </c>
      <c r="T172">
        <v>526729</v>
      </c>
      <c r="U172" s="3">
        <v>1.25</v>
      </c>
      <c r="X172" t="s">
        <v>41</v>
      </c>
      <c r="Z172" s="1">
        <v>13.46</v>
      </c>
      <c r="AA172" s="1">
        <f>IF(AND(ISNUMBER(Z172),ISNUMBER(I172),I172&gt;0,ISNUMBER(J172)),ROUND(Z172*J172/I172,2),"")</f>
        <v>14.53</v>
      </c>
      <c r="AB172" t="s">
        <v>42</v>
      </c>
      <c r="AC172" t="s">
        <v>43</v>
      </c>
      <c r="AD172" t="s">
        <v>44</v>
      </c>
      <c r="AE172" t="s">
        <v>45</v>
      </c>
    </row>
    <row r="173">
      <c r="A173">
        <v>805679</v>
      </c>
      <c r="B173">
        <v>805679</v>
      </c>
      <c r="C173" t="s">
        <v>333</v>
      </c>
      <c r="D173" t="s">
        <v>229</v>
      </c>
      <c r="E173" t="s">
        <v>334</v>
      </c>
      <c r="F173" s="1">
        <v>11.37</v>
      </c>
      <c r="G173" s="2">
        <v>0.6574</v>
      </c>
      <c r="H173" s="2">
        <v>0.79</v>
      </c>
      <c r="I173" s="1">
        <v>18.84</v>
      </c>
      <c r="J173" s="1">
        <f>IF(AND(ISNUMBER(F173),ISNUMBER(H173)),ROUND(F173*(1+H173),2),"")</f>
        <v>20.35</v>
      </c>
      <c r="K173" s="2">
        <f>IF(AND(ISNUMBER(I173),I173&gt;0,ISNUMBER(J173)),J173/I173-1,"")</f>
        <v>0.08014861995753719</v>
      </c>
      <c r="L173" t="s">
        <v>38</v>
      </c>
      <c r="M173" s="1">
        <v>10.77</v>
      </c>
      <c r="N173" s="1">
        <f>IF(AND(ISNUMBER(U173),U173&gt;0,ISNUMBER(J173)),ROUND(J173/U173,2),"")</f>
        <v>11.63</v>
      </c>
      <c r="Q173" t="s">
        <v>40</v>
      </c>
      <c r="R173" t="s">
        <v>39</v>
      </c>
      <c r="S173">
        <v>526732</v>
      </c>
      <c r="T173">
        <v>526732</v>
      </c>
      <c r="U173" s="3">
        <v>1.75</v>
      </c>
      <c r="X173" t="s">
        <v>41</v>
      </c>
      <c r="Z173" s="1">
        <v>18.84</v>
      </c>
      <c r="AA173" s="1">
        <f>IF(AND(ISNUMBER(Z173),ISNUMBER(I173),I173&gt;0,ISNUMBER(J173)),ROUND(Z173*J173/I173,2),"")</f>
        <v>20.35</v>
      </c>
      <c r="AB173" t="s">
        <v>42</v>
      </c>
      <c r="AC173" t="s">
        <v>43</v>
      </c>
      <c r="AD173" t="s">
        <v>44</v>
      </c>
      <c r="AE173" t="s">
        <v>45</v>
      </c>
    </row>
    <row r="174">
      <c r="A174">
        <v>805658</v>
      </c>
      <c r="B174">
        <v>805658</v>
      </c>
      <c r="C174" t="s">
        <v>335</v>
      </c>
      <c r="D174" t="s">
        <v>229</v>
      </c>
      <c r="E174" t="s">
        <v>336</v>
      </c>
      <c r="F174" s="1">
        <v>22.51</v>
      </c>
      <c r="G174" s="2">
        <v>0.6574</v>
      </c>
      <c r="H174" s="2">
        <v>0.79</v>
      </c>
      <c r="I174" s="1">
        <v>37.31</v>
      </c>
      <c r="J174" s="1">
        <f>IF(AND(ISNUMBER(F174),ISNUMBER(H174)),ROUND(F174*(1+H174),2),"")</f>
        <v>40.29</v>
      </c>
      <c r="K174" s="2">
        <f>IF(AND(ISNUMBER(I174),I174&gt;0,ISNUMBER(J174)),J174/I174-1,"")</f>
        <v>0.07987134816403096</v>
      </c>
      <c r="L174" t="s">
        <v>38</v>
      </c>
      <c r="M174" s="1">
        <v>14.35</v>
      </c>
      <c r="N174" s="1">
        <f>IF(AND(ISNUMBER(U174),U174&gt;0,ISNUMBER(J174)),ROUND(J174/U174,2),"")</f>
        <v>15.5</v>
      </c>
      <c r="O174" s="1">
        <v>16</v>
      </c>
      <c r="P174" s="1">
        <v>17.28</v>
      </c>
      <c r="Q174" t="s">
        <v>40</v>
      </c>
      <c r="R174" t="s">
        <v>39</v>
      </c>
      <c r="S174">
        <v>526711</v>
      </c>
      <c r="T174">
        <v>526711</v>
      </c>
      <c r="U174" s="3">
        <v>2.6</v>
      </c>
      <c r="V174" s="1">
        <v>16</v>
      </c>
      <c r="W174" s="1">
        <v>17.28</v>
      </c>
      <c r="X174" t="s">
        <v>240</v>
      </c>
      <c r="Y174" t="s">
        <v>337</v>
      </c>
      <c r="Z174" s="1">
        <v>37.31</v>
      </c>
      <c r="AA174" s="1">
        <f>IF(AND(ISNUMBER(Z174),ISNUMBER(I174),I174&gt;0,ISNUMBER(J174)),ROUND(Z174*J174/I174,2),"")</f>
        <v>40.29</v>
      </c>
      <c r="AB174" t="s">
        <v>42</v>
      </c>
      <c r="AC174" t="s">
        <v>242</v>
      </c>
      <c r="AD174" t="s">
        <v>44</v>
      </c>
      <c r="AE174" t="s">
        <v>45</v>
      </c>
    </row>
    <row r="175">
      <c r="A175">
        <v>805673</v>
      </c>
      <c r="B175">
        <v>805673</v>
      </c>
      <c r="C175" t="s">
        <v>338</v>
      </c>
      <c r="D175" t="s">
        <v>229</v>
      </c>
      <c r="E175" t="s">
        <v>339</v>
      </c>
      <c r="F175" s="1">
        <v>23.81</v>
      </c>
      <c r="G175" s="2">
        <v>0.4918</v>
      </c>
      <c r="H175" s="2">
        <v>0.6111</v>
      </c>
      <c r="I175" s="1">
        <v>35.52</v>
      </c>
      <c r="J175" s="1">
        <f>IF(AND(ISNUMBER(F175),ISNUMBER(H175)),ROUND(F175*(1+H175),2),"")</f>
        <v>38.36</v>
      </c>
      <c r="K175" s="2">
        <f>IF(AND(ISNUMBER(I175),I175&gt;0,ISNUMBER(J175)),J175/I175-1,"")</f>
        <v>0.07995495495495475</v>
      </c>
      <c r="L175" t="s">
        <v>340</v>
      </c>
      <c r="M175" s="1">
        <v>6.46</v>
      </c>
      <c r="N175" s="1">
        <f>IF(AND(ISNUMBER(U175),U175&gt;0,ISNUMBER(J175)),ROUND(J175/U175,2),"")</f>
        <v>6.97</v>
      </c>
      <c r="Q175" t="s">
        <v>40</v>
      </c>
      <c r="R175" t="s">
        <v>39</v>
      </c>
      <c r="S175">
        <v>608372</v>
      </c>
      <c r="T175">
        <v>608372</v>
      </c>
      <c r="U175" s="3">
        <v>5.5</v>
      </c>
      <c r="X175" t="s">
        <v>41</v>
      </c>
      <c r="Z175" s="1">
        <v>39.46</v>
      </c>
      <c r="AA175" s="1">
        <f>IF(AND(ISNUMBER(Z175),ISNUMBER(I175),I175&gt;0,ISNUMBER(J175)),ROUND(Z175*J175/I175,2),"")</f>
        <v>42.62</v>
      </c>
      <c r="AB175" t="s">
        <v>42</v>
      </c>
      <c r="AC175" t="s">
        <v>341</v>
      </c>
      <c r="AD175" t="s">
        <v>48</v>
      </c>
      <c r="AE175" t="s">
        <v>45</v>
      </c>
    </row>
    <row r="176">
      <c r="A176">
        <v>953035</v>
      </c>
      <c r="B176">
        <v>953035</v>
      </c>
      <c r="C176" t="s">
        <v>342</v>
      </c>
      <c r="D176" t="s">
        <v>229</v>
      </c>
      <c r="E176" t="s">
        <v>343</v>
      </c>
      <c r="F176" s="1">
        <v>21.16</v>
      </c>
      <c r="G176" s="2">
        <v>0.4915</v>
      </c>
      <c r="H176" s="2">
        <v>0.6108</v>
      </c>
      <c r="I176" s="1">
        <v>31.56</v>
      </c>
      <c r="J176" s="1">
        <f>IF(AND(ISNUMBER(F176),ISNUMBER(H176)),ROUND(F176*(1+H176),2),"")</f>
        <v>34.08</v>
      </c>
      <c r="K176" s="2">
        <f>IF(AND(ISNUMBER(I176),I176&gt;0,ISNUMBER(J176)),J176/I176-1,"")</f>
        <v>0.07984790874524705</v>
      </c>
      <c r="L176" t="s">
        <v>340</v>
      </c>
      <c r="M176" s="1">
        <v>6.86</v>
      </c>
      <c r="N176" s="1">
        <f>IF(AND(ISNUMBER(U176),U176&gt;0,ISNUMBER(J176)),ROUND(J176/U176,2),"")</f>
        <v>7.41</v>
      </c>
      <c r="Q176" t="s">
        <v>40</v>
      </c>
      <c r="R176" t="s">
        <v>39</v>
      </c>
      <c r="S176">
        <v>710619</v>
      </c>
      <c r="T176">
        <v>710619</v>
      </c>
      <c r="U176" s="3">
        <v>4.6</v>
      </c>
      <c r="X176" t="s">
        <v>41</v>
      </c>
      <c r="Z176" s="1">
        <v>35.07</v>
      </c>
      <c r="AA176" s="1">
        <f>IF(AND(ISNUMBER(Z176),ISNUMBER(I176),I176&gt;0,ISNUMBER(J176)),ROUND(Z176*J176/I176,2),"")</f>
        <v>37.87</v>
      </c>
      <c r="AB176" t="s">
        <v>42</v>
      </c>
      <c r="AC176" t="s">
        <v>341</v>
      </c>
      <c r="AD176" t="s">
        <v>48</v>
      </c>
      <c r="AE176" t="s">
        <v>45</v>
      </c>
    </row>
    <row r="177">
      <c r="A177">
        <v>953036</v>
      </c>
      <c r="B177">
        <v>953036</v>
      </c>
      <c r="C177" t="s">
        <v>344</v>
      </c>
      <c r="D177" t="s">
        <v>229</v>
      </c>
      <c r="E177" t="s">
        <v>345</v>
      </c>
      <c r="F177" s="1">
        <v>18.02</v>
      </c>
      <c r="G177" s="2">
        <v>0.4917</v>
      </c>
      <c r="H177" s="2">
        <v>0.611</v>
      </c>
      <c r="I177" s="1">
        <v>26.88</v>
      </c>
      <c r="J177" s="1">
        <f>IF(AND(ISNUMBER(F177),ISNUMBER(H177)),ROUND(F177*(1+H177),2),"")</f>
        <v>29.03</v>
      </c>
      <c r="K177" s="2">
        <f>IF(AND(ISNUMBER(I177),I177&gt;0,ISNUMBER(J177)),J177/I177-1,"")</f>
        <v>0.07998511904761907</v>
      </c>
      <c r="L177" t="s">
        <v>340</v>
      </c>
      <c r="M177" s="1">
        <v>7.26</v>
      </c>
      <c r="N177" s="1">
        <f>IF(AND(ISNUMBER(U177),U177&gt;0,ISNUMBER(J177)),ROUND(J177/U177,2),"")</f>
        <v>7.85</v>
      </c>
      <c r="Q177" t="s">
        <v>40</v>
      </c>
      <c r="R177" t="s">
        <v>39</v>
      </c>
      <c r="S177">
        <v>710620</v>
      </c>
      <c r="T177">
        <v>710620</v>
      </c>
      <c r="U177" s="3">
        <v>3.7</v>
      </c>
      <c r="X177" t="s">
        <v>41</v>
      </c>
      <c r="Z177" s="1">
        <v>29.87</v>
      </c>
      <c r="AA177" s="1">
        <f>IF(AND(ISNUMBER(Z177),ISNUMBER(I177),I177&gt;0,ISNUMBER(J177)),ROUND(Z177*J177/I177,2),"")</f>
        <v>32.26</v>
      </c>
      <c r="AB177" t="s">
        <v>42</v>
      </c>
      <c r="AC177" t="s">
        <v>346</v>
      </c>
      <c r="AD177" t="s">
        <v>44</v>
      </c>
      <c r="AE177" t="s">
        <v>45</v>
      </c>
    </row>
    <row r="178">
      <c r="A178">
        <v>953039</v>
      </c>
      <c r="B178">
        <v>953039</v>
      </c>
      <c r="C178" t="s">
        <v>347</v>
      </c>
      <c r="D178" t="s">
        <v>229</v>
      </c>
      <c r="E178" t="s">
        <v>348</v>
      </c>
      <c r="F178" s="1">
        <v>14.63</v>
      </c>
      <c r="G178" s="2">
        <v>0.4915</v>
      </c>
      <c r="H178" s="2">
        <v>0.6108</v>
      </c>
      <c r="I178" s="1">
        <v>21.82</v>
      </c>
      <c r="J178" s="1">
        <f>IF(AND(ISNUMBER(F178),ISNUMBER(H178)),ROUND(F178*(1+H178),2),"")</f>
        <v>23.57</v>
      </c>
      <c r="K178" s="2">
        <f>IF(AND(ISNUMBER(I178),I178&gt;0,ISNUMBER(J178)),J178/I178-1,"")</f>
        <v>0.08020164986251155</v>
      </c>
      <c r="L178" t="s">
        <v>340</v>
      </c>
      <c r="M178" s="1">
        <v>7.67</v>
      </c>
      <c r="N178" s="1">
        <f>IF(AND(ISNUMBER(U178),U178&gt;0,ISNUMBER(J178)),ROUND(J178/U178,2),"")</f>
        <v>8.28</v>
      </c>
      <c r="Q178" t="s">
        <v>40</v>
      </c>
      <c r="R178" t="s">
        <v>39</v>
      </c>
      <c r="S178">
        <v>710624</v>
      </c>
      <c r="T178">
        <v>710624</v>
      </c>
      <c r="U178" s="3">
        <v>2.845</v>
      </c>
      <c r="X178" t="s">
        <v>41</v>
      </c>
      <c r="Z178" s="1">
        <v>24.25</v>
      </c>
      <c r="AA178" s="1">
        <f>IF(AND(ISNUMBER(Z178),ISNUMBER(I178),I178&gt;0,ISNUMBER(J178)),ROUND(Z178*J178/I178,2),"")</f>
        <v>26.19</v>
      </c>
      <c r="AB178" t="s">
        <v>42</v>
      </c>
      <c r="AC178" t="s">
        <v>341</v>
      </c>
      <c r="AD178" t="s">
        <v>48</v>
      </c>
      <c r="AE178" t="s">
        <v>45</v>
      </c>
    </row>
    <row r="179">
      <c r="A179">
        <v>813086</v>
      </c>
      <c r="B179">
        <v>813086</v>
      </c>
      <c r="C179" t="s">
        <v>349</v>
      </c>
      <c r="D179" t="s">
        <v>229</v>
      </c>
      <c r="E179" t="s">
        <v>212</v>
      </c>
      <c r="F179" s="1">
        <v>8.39</v>
      </c>
      <c r="G179" s="2">
        <v>0.6574</v>
      </c>
      <c r="H179" s="2">
        <v>0.79</v>
      </c>
      <c r="I179" s="1">
        <v>13.91</v>
      </c>
      <c r="J179" s="1">
        <f>IF(AND(ISNUMBER(F179),ISNUMBER(H179)),ROUND(F179*(1+H179),2),"")</f>
        <v>15.02</v>
      </c>
      <c r="K179" s="2">
        <f>IF(AND(ISNUMBER(I179),I179&gt;0,ISNUMBER(J179)),J179/I179-1,"")</f>
        <v>0.07979870596693028</v>
      </c>
      <c r="L179" t="s">
        <v>38</v>
      </c>
      <c r="M179" s="1">
        <v>18.55</v>
      </c>
      <c r="N179" s="1">
        <f>IF(AND(ISNUMBER(U179),U179&gt;0,ISNUMBER(J179)),ROUND(J179/U179,2),"")</f>
        <v>20.03</v>
      </c>
      <c r="O179" s="1">
        <v>20.67</v>
      </c>
      <c r="P179" s="1">
        <v>22.32</v>
      </c>
      <c r="Q179" t="s">
        <v>40</v>
      </c>
      <c r="R179" t="s">
        <v>39</v>
      </c>
      <c r="S179">
        <v>535117</v>
      </c>
      <c r="T179">
        <v>535117</v>
      </c>
      <c r="U179" s="3">
        <v>0.75</v>
      </c>
      <c r="V179" s="1">
        <v>15.5</v>
      </c>
      <c r="W179" s="1">
        <v>16.74</v>
      </c>
      <c r="X179" t="s">
        <v>244</v>
      </c>
      <c r="Y179" t="s">
        <v>350</v>
      </c>
      <c r="Z179" s="1">
        <v>13.91</v>
      </c>
      <c r="AA179" s="1">
        <f>IF(AND(ISNUMBER(Z179),ISNUMBER(I179),I179&gt;0,ISNUMBER(J179)),ROUND(Z179*J179/I179,2),"")</f>
        <v>15.02</v>
      </c>
      <c r="AB179" t="s">
        <v>42</v>
      </c>
      <c r="AC179" t="s">
        <v>246</v>
      </c>
      <c r="AD179" t="s">
        <v>44</v>
      </c>
      <c r="AE179" t="s">
        <v>45</v>
      </c>
    </row>
    <row r="180">
      <c r="A180">
        <v>1163732</v>
      </c>
      <c r="B180">
        <v>1164545</v>
      </c>
      <c r="C180" t="s">
        <v>351</v>
      </c>
      <c r="D180" t="s">
        <v>229</v>
      </c>
      <c r="E180" t="s">
        <v>63</v>
      </c>
      <c r="F180" s="1">
        <v>8.12</v>
      </c>
      <c r="G180" s="2">
        <v>0.6574</v>
      </c>
      <c r="H180" s="2">
        <v>0.79</v>
      </c>
      <c r="I180" s="1">
        <v>13.46</v>
      </c>
      <c r="J180" s="1">
        <f>IF(AND(ISNUMBER(F180),ISNUMBER(H180)),ROUND(F180*(1+H180),2),"")</f>
        <v>14.53</v>
      </c>
      <c r="K180" s="2">
        <f>IF(AND(ISNUMBER(I180),I180&gt;0,ISNUMBER(J180)),J180/I180-1,"")</f>
        <v>0.0794947994056463</v>
      </c>
      <c r="L180" t="s">
        <v>38</v>
      </c>
      <c r="M180" s="1">
        <v>10.77</v>
      </c>
      <c r="N180" s="1">
        <f>IF(AND(ISNUMBER(U180),U180&gt;0,ISNUMBER(J180)),ROUND(J180/U180,2),"")</f>
        <v>11.62</v>
      </c>
      <c r="Q180" t="s">
        <v>40</v>
      </c>
      <c r="R180" t="s">
        <v>39</v>
      </c>
      <c r="S180">
        <v>1011358</v>
      </c>
      <c r="T180">
        <v>1012456</v>
      </c>
      <c r="U180" s="3">
        <v>1.25</v>
      </c>
      <c r="X180" t="s">
        <v>41</v>
      </c>
      <c r="Z180" s="1">
        <v>13.46</v>
      </c>
      <c r="AA180" s="1">
        <f>IF(AND(ISNUMBER(Z180),ISNUMBER(I180),I180&gt;0,ISNUMBER(J180)),ROUND(Z180*J180/I180,2),"")</f>
        <v>14.53</v>
      </c>
      <c r="AB180" t="s">
        <v>42</v>
      </c>
      <c r="AC180" t="s">
        <v>43</v>
      </c>
      <c r="AD180" t="s">
        <v>44</v>
      </c>
      <c r="AE180" t="s">
        <v>45</v>
      </c>
    </row>
    <row r="181">
      <c r="A181">
        <v>1163731</v>
      </c>
      <c r="B181">
        <v>1164544</v>
      </c>
      <c r="C181" t="s">
        <v>352</v>
      </c>
      <c r="D181" t="s">
        <v>229</v>
      </c>
      <c r="E181" t="s">
        <v>332</v>
      </c>
      <c r="F181" s="1">
        <v>8.12</v>
      </c>
      <c r="G181" s="2">
        <v>0.6574</v>
      </c>
      <c r="H181" s="2">
        <v>0.79</v>
      </c>
      <c r="I181" s="1">
        <v>13.46</v>
      </c>
      <c r="J181" s="1">
        <f>IF(AND(ISNUMBER(F181),ISNUMBER(H181)),ROUND(F181*(1+H181),2),"")</f>
        <v>14.53</v>
      </c>
      <c r="K181" s="2">
        <f>IF(AND(ISNUMBER(I181),I181&gt;0,ISNUMBER(J181)),J181/I181-1,"")</f>
        <v>0.0794947994056463</v>
      </c>
      <c r="L181" t="s">
        <v>38</v>
      </c>
      <c r="M181" s="1">
        <v>10.77</v>
      </c>
      <c r="N181" s="1">
        <f>IF(AND(ISNUMBER(U181),U181&gt;0,ISNUMBER(J181)),ROUND(J181/U181,2),"")</f>
        <v>11.62</v>
      </c>
      <c r="Q181" t="s">
        <v>40</v>
      </c>
      <c r="R181" t="s">
        <v>39</v>
      </c>
      <c r="S181">
        <v>1011357</v>
      </c>
      <c r="T181">
        <v>1012455</v>
      </c>
      <c r="U181" s="3">
        <v>1.25</v>
      </c>
      <c r="X181" t="s">
        <v>41</v>
      </c>
      <c r="Z181" s="1">
        <v>13.46</v>
      </c>
      <c r="AA181" s="1">
        <f>IF(AND(ISNUMBER(Z181),ISNUMBER(I181),I181&gt;0,ISNUMBER(J181)),ROUND(Z181*J181/I181,2),"")</f>
        <v>14.53</v>
      </c>
      <c r="AB181" t="s">
        <v>42</v>
      </c>
      <c r="AC181" t="s">
        <v>43</v>
      </c>
      <c r="AD181" t="s">
        <v>48</v>
      </c>
      <c r="AE181" t="s">
        <v>45</v>
      </c>
    </row>
    <row r="182">
      <c r="A182">
        <v>813074</v>
      </c>
      <c r="B182">
        <v>813074</v>
      </c>
      <c r="C182" t="s">
        <v>353</v>
      </c>
      <c r="D182" t="s">
        <v>229</v>
      </c>
      <c r="E182" t="s">
        <v>354</v>
      </c>
      <c r="F182" s="1">
        <v>17.59</v>
      </c>
      <c r="G182" s="2">
        <v>0.6574</v>
      </c>
      <c r="H182" s="2">
        <v>0.79</v>
      </c>
      <c r="I182" s="1">
        <v>29.15</v>
      </c>
      <c r="J182" s="1">
        <f>IF(AND(ISNUMBER(F182),ISNUMBER(H182)),ROUND(F182*(1+H182),2),"")</f>
        <v>31.49</v>
      </c>
      <c r="K182" s="2">
        <f>IF(AND(ISNUMBER(I182),I182&gt;0,ISNUMBER(J182)),J182/I182-1,"")</f>
        <v>0.0802744425385935</v>
      </c>
      <c r="L182" t="s">
        <v>38</v>
      </c>
      <c r="M182" s="1">
        <v>23.32</v>
      </c>
      <c r="N182" s="1">
        <f>IF(AND(ISNUMBER(U182),U182&gt;0,ISNUMBER(J182)),ROUND(J182/U182,2),"")</f>
        <v>25.19</v>
      </c>
      <c r="O182" s="1">
        <v>26</v>
      </c>
      <c r="P182" s="1">
        <v>28.08</v>
      </c>
      <c r="Q182" t="s">
        <v>40</v>
      </c>
      <c r="R182" t="s">
        <v>39</v>
      </c>
      <c r="S182">
        <v>535104</v>
      </c>
      <c r="T182">
        <v>535104</v>
      </c>
      <c r="U182" s="3">
        <v>1.25</v>
      </c>
      <c r="V182" s="1">
        <v>26</v>
      </c>
      <c r="W182" s="1">
        <v>28.08</v>
      </c>
      <c r="X182" t="s">
        <v>240</v>
      </c>
      <c r="Y182" t="s">
        <v>355</v>
      </c>
      <c r="Z182" s="1">
        <v>29.15</v>
      </c>
      <c r="AA182" s="1">
        <f>IF(AND(ISNUMBER(Z182),ISNUMBER(I182),I182&gt;0,ISNUMBER(J182)),ROUND(Z182*J182/I182,2),"")</f>
        <v>31.49</v>
      </c>
      <c r="AB182" t="s">
        <v>42</v>
      </c>
      <c r="AC182" t="s">
        <v>242</v>
      </c>
      <c r="AD182" t="s">
        <v>48</v>
      </c>
      <c r="AE182" t="s">
        <v>45</v>
      </c>
    </row>
    <row r="183">
      <c r="A183">
        <v>805686</v>
      </c>
      <c r="B183">
        <v>805686</v>
      </c>
      <c r="C183" t="s">
        <v>356</v>
      </c>
      <c r="D183" t="s">
        <v>229</v>
      </c>
      <c r="E183" t="s">
        <v>212</v>
      </c>
      <c r="F183" s="1">
        <v>10.55</v>
      </c>
      <c r="G183" s="2">
        <v>0.6574</v>
      </c>
      <c r="H183" s="2">
        <v>0.79</v>
      </c>
      <c r="I183" s="1">
        <v>17.49</v>
      </c>
      <c r="J183" s="1">
        <f>IF(AND(ISNUMBER(F183),ISNUMBER(H183)),ROUND(F183*(1+H183),2),"")</f>
        <v>18.88</v>
      </c>
      <c r="K183" s="2">
        <f>IF(AND(ISNUMBER(I183),I183&gt;0,ISNUMBER(J183)),J183/I183-1,"")</f>
        <v>0.07947398513436243</v>
      </c>
      <c r="L183" t="s">
        <v>38</v>
      </c>
      <c r="M183" s="1">
        <v>23.32</v>
      </c>
      <c r="N183" s="1">
        <f>IF(AND(ISNUMBER(U183),U183&gt;0,ISNUMBER(J183)),ROUND(J183/U183,2),"")</f>
        <v>25.17</v>
      </c>
      <c r="Q183" t="s">
        <v>40</v>
      </c>
      <c r="R183" t="s">
        <v>39</v>
      </c>
      <c r="S183">
        <v>526739</v>
      </c>
      <c r="T183">
        <v>526739</v>
      </c>
      <c r="U183" s="3">
        <v>0.75</v>
      </c>
      <c r="X183" t="s">
        <v>41</v>
      </c>
      <c r="Z183" s="1">
        <v>17.49</v>
      </c>
      <c r="AA183" s="1">
        <f>IF(AND(ISNUMBER(Z183),ISNUMBER(I183),I183&gt;0,ISNUMBER(J183)),ROUND(Z183*J183/I183,2),"")</f>
        <v>18.88</v>
      </c>
      <c r="AB183" t="s">
        <v>42</v>
      </c>
      <c r="AC183" t="s">
        <v>43</v>
      </c>
      <c r="AD183" t="s">
        <v>44</v>
      </c>
      <c r="AE183" t="s">
        <v>45</v>
      </c>
    </row>
    <row r="184">
      <c r="A184">
        <v>813092</v>
      </c>
      <c r="B184">
        <v>813092</v>
      </c>
      <c r="C184" t="s">
        <v>357</v>
      </c>
      <c r="D184" t="s">
        <v>229</v>
      </c>
      <c r="E184" t="s">
        <v>358</v>
      </c>
      <c r="F184" s="1">
        <v>9.2</v>
      </c>
      <c r="G184" s="2">
        <v>0.6574</v>
      </c>
      <c r="H184" s="2">
        <v>0.79</v>
      </c>
      <c r="I184" s="1">
        <v>15.25</v>
      </c>
      <c r="J184" s="1">
        <f>IF(AND(ISNUMBER(F184),ISNUMBER(H184)),ROUND(F184*(1+H184),2),"")</f>
        <v>16.47</v>
      </c>
      <c r="K184" s="2">
        <f>IF(AND(ISNUMBER(I184),I184&gt;0,ISNUMBER(J184)),J184/I184-1,"")</f>
        <v>0.07999999999999985</v>
      </c>
      <c r="L184" t="s">
        <v>38</v>
      </c>
      <c r="M184" s="1">
        <v>15.25</v>
      </c>
      <c r="N184" s="1">
        <f>IF(AND(ISNUMBER(U184),U184&gt;0,ISNUMBER(J184)),ROUND(J184/U184,2),"")</f>
        <v>16.47</v>
      </c>
      <c r="O184" s="1">
        <v>17</v>
      </c>
      <c r="P184" s="1">
        <v>18.36</v>
      </c>
      <c r="Q184" t="s">
        <v>40</v>
      </c>
      <c r="R184" t="s">
        <v>39</v>
      </c>
      <c r="S184">
        <v>535123</v>
      </c>
      <c r="T184">
        <v>535123</v>
      </c>
      <c r="U184" s="3">
        <v>1</v>
      </c>
      <c r="V184" s="1">
        <v>17</v>
      </c>
      <c r="W184" s="1">
        <v>18.36</v>
      </c>
      <c r="X184" t="s">
        <v>274</v>
      </c>
      <c r="Y184" t="s">
        <v>359</v>
      </c>
      <c r="Z184" s="1">
        <v>15.25</v>
      </c>
      <c r="AA184" s="1">
        <f>IF(AND(ISNUMBER(Z184),ISNUMBER(I184),I184&gt;0,ISNUMBER(J184)),ROUND(Z184*J184/I184,2),"")</f>
        <v>16.47</v>
      </c>
      <c r="AB184" t="s">
        <v>42</v>
      </c>
      <c r="AC184" t="s">
        <v>276</v>
      </c>
      <c r="AD184" t="s">
        <v>48</v>
      </c>
      <c r="AE184" t="s">
        <v>45</v>
      </c>
    </row>
    <row r="185">
      <c r="A185">
        <v>805691</v>
      </c>
      <c r="B185">
        <v>805691</v>
      </c>
      <c r="C185" t="s">
        <v>360</v>
      </c>
      <c r="D185" t="s">
        <v>229</v>
      </c>
      <c r="E185" t="s">
        <v>358</v>
      </c>
      <c r="F185" s="1">
        <v>6.49</v>
      </c>
      <c r="G185" s="2">
        <v>0.3267</v>
      </c>
      <c r="H185" s="2">
        <v>0.4328</v>
      </c>
      <c r="I185" s="1">
        <v>8.61</v>
      </c>
      <c r="J185" s="1">
        <f>IF(AND(ISNUMBER(F185),ISNUMBER(H185)),ROUND(F185*(1+H185),2),"")</f>
        <v>9.3</v>
      </c>
      <c r="K185" s="2">
        <f>IF(AND(ISNUMBER(I185),I185&gt;0,ISNUMBER(J185)),J185/I185-1,"")</f>
        <v>0.08013937282229988</v>
      </c>
      <c r="L185" t="s">
        <v>361</v>
      </c>
      <c r="M185" s="1">
        <v>8.61</v>
      </c>
      <c r="N185" s="1">
        <f>IF(AND(ISNUMBER(U185),U185&gt;0,ISNUMBER(J185)),ROUND(J185/U185,2),"")</f>
        <v>9.3</v>
      </c>
      <c r="O185" s="1">
        <v>9.6</v>
      </c>
      <c r="P185" s="1">
        <v>10.37</v>
      </c>
      <c r="Q185" t="s">
        <v>40</v>
      </c>
      <c r="R185" t="s">
        <v>39</v>
      </c>
      <c r="S185">
        <v>526744</v>
      </c>
      <c r="T185">
        <v>526744</v>
      </c>
      <c r="U185" s="3">
        <v>1</v>
      </c>
      <c r="V185" s="1">
        <v>9.6</v>
      </c>
      <c r="W185" s="1">
        <v>10.37</v>
      </c>
      <c r="X185" t="s">
        <v>274</v>
      </c>
      <c r="Y185" t="s">
        <v>362</v>
      </c>
      <c r="Z185" s="1">
        <v>10.76</v>
      </c>
      <c r="AA185" s="1">
        <f>IF(AND(ISNUMBER(Z185),ISNUMBER(I185),I185&gt;0,ISNUMBER(J185)),ROUND(Z185*J185/I185,2),"")</f>
        <v>11.62</v>
      </c>
      <c r="AB185" t="s">
        <v>42</v>
      </c>
      <c r="AC185" t="s">
        <v>363</v>
      </c>
      <c r="AD185" t="s">
        <v>44</v>
      </c>
      <c r="AE185" t="s">
        <v>45</v>
      </c>
    </row>
    <row r="186">
      <c r="A186">
        <v>805664</v>
      </c>
      <c r="B186">
        <v>805664</v>
      </c>
      <c r="C186" t="s">
        <v>364</v>
      </c>
      <c r="D186" t="s">
        <v>229</v>
      </c>
      <c r="E186" t="s">
        <v>358</v>
      </c>
      <c r="F186" s="1">
        <v>8.39</v>
      </c>
      <c r="G186" s="2">
        <v>0.6574</v>
      </c>
      <c r="H186" s="2">
        <v>0.79</v>
      </c>
      <c r="I186" s="1">
        <v>13.91</v>
      </c>
      <c r="J186" s="1">
        <f>IF(AND(ISNUMBER(F186),ISNUMBER(H186)),ROUND(F186*(1+H186),2),"")</f>
        <v>15.02</v>
      </c>
      <c r="K186" s="2">
        <f>IF(AND(ISNUMBER(I186),I186&gt;0,ISNUMBER(J186)),J186/I186-1,"")</f>
        <v>0.07979870596693028</v>
      </c>
      <c r="L186" t="s">
        <v>38</v>
      </c>
      <c r="M186" s="1">
        <v>13.91</v>
      </c>
      <c r="N186" s="1">
        <f>IF(AND(ISNUMBER(U186),U186&gt;0,ISNUMBER(J186)),ROUND(J186/U186,2),"")</f>
        <v>15.02</v>
      </c>
      <c r="O186" s="1">
        <v>15.5</v>
      </c>
      <c r="P186" s="1">
        <v>16.74</v>
      </c>
      <c r="Q186" t="s">
        <v>40</v>
      </c>
      <c r="R186" t="s">
        <v>39</v>
      </c>
      <c r="S186">
        <v>526717</v>
      </c>
      <c r="T186">
        <v>526717</v>
      </c>
      <c r="U186" s="3">
        <v>1</v>
      </c>
      <c r="V186" s="1">
        <v>15.5</v>
      </c>
      <c r="W186" s="1">
        <v>16.74</v>
      </c>
      <c r="X186" t="s">
        <v>274</v>
      </c>
      <c r="Y186" t="s">
        <v>365</v>
      </c>
      <c r="Z186" s="1">
        <v>13.91</v>
      </c>
      <c r="AA186" s="1">
        <f>IF(AND(ISNUMBER(Z186),ISNUMBER(I186),I186&gt;0,ISNUMBER(J186)),ROUND(Z186*J186/I186,2),"")</f>
        <v>15.02</v>
      </c>
      <c r="AB186" t="s">
        <v>42</v>
      </c>
      <c r="AC186" t="s">
        <v>276</v>
      </c>
      <c r="AD186" t="s">
        <v>48</v>
      </c>
      <c r="AE186" t="s">
        <v>45</v>
      </c>
    </row>
    <row r="187">
      <c r="A187">
        <v>825830</v>
      </c>
      <c r="B187">
        <v>825830</v>
      </c>
      <c r="C187" t="s">
        <v>366</v>
      </c>
      <c r="D187" t="s">
        <v>229</v>
      </c>
      <c r="E187" t="s">
        <v>292</v>
      </c>
      <c r="F187" s="1">
        <v>7.74</v>
      </c>
      <c r="G187" s="2">
        <v>0.6574</v>
      </c>
      <c r="H187" s="2">
        <v>0.79</v>
      </c>
      <c r="I187" s="1">
        <v>12.83</v>
      </c>
      <c r="J187" s="1">
        <f>IF(AND(ISNUMBER(F187),ISNUMBER(H187)),ROUND(F187*(1+H187),2),"")</f>
        <v>13.85</v>
      </c>
      <c r="K187" s="2">
        <f>IF(AND(ISNUMBER(I187),I187&gt;0,ISNUMBER(J187)),J187/I187-1,"")</f>
        <v>0.07950116913484018</v>
      </c>
      <c r="L187" t="s">
        <v>38</v>
      </c>
      <c r="M187" s="1">
        <v>23.33</v>
      </c>
      <c r="N187" s="1">
        <f>IF(AND(ISNUMBER(U187),U187&gt;0,ISNUMBER(J187)),ROUND(J187/U187,2),"")</f>
        <v>25.18</v>
      </c>
      <c r="O187" s="1">
        <v>26</v>
      </c>
      <c r="P187" s="1">
        <v>28.08</v>
      </c>
      <c r="Q187" t="s">
        <v>40</v>
      </c>
      <c r="R187" t="s">
        <v>39</v>
      </c>
      <c r="S187">
        <v>568280</v>
      </c>
      <c r="T187">
        <v>568280</v>
      </c>
      <c r="U187" s="3">
        <v>0.55</v>
      </c>
      <c r="V187" s="1">
        <v>26</v>
      </c>
      <c r="W187" s="1">
        <v>28.08</v>
      </c>
      <c r="X187" t="s">
        <v>240</v>
      </c>
      <c r="Y187" t="s">
        <v>367</v>
      </c>
      <c r="Z187" s="1">
        <v>12.83</v>
      </c>
      <c r="AA187" s="1">
        <f>IF(AND(ISNUMBER(Z187),ISNUMBER(I187),I187&gt;0,ISNUMBER(J187)),ROUND(Z187*J187/I187,2),"")</f>
        <v>13.85</v>
      </c>
      <c r="AB187" t="s">
        <v>42</v>
      </c>
      <c r="AC187" t="s">
        <v>242</v>
      </c>
      <c r="AD187" t="s">
        <v>48</v>
      </c>
      <c r="AE187" t="s">
        <v>45</v>
      </c>
    </row>
    <row r="188">
      <c r="A188">
        <v>1008414</v>
      </c>
      <c r="B188">
        <v>1008414</v>
      </c>
      <c r="C188" t="s">
        <v>368</v>
      </c>
      <c r="D188" t="s">
        <v>229</v>
      </c>
      <c r="E188" t="s">
        <v>320</v>
      </c>
      <c r="F188" s="1">
        <v>56.83</v>
      </c>
      <c r="G188" s="2">
        <v>0.6573992609537216</v>
      </c>
      <c r="H188" s="2">
        <v>0.79</v>
      </c>
      <c r="I188" s="1">
        <v>94.19</v>
      </c>
      <c r="J188" s="1">
        <f>IF(AND(ISNUMBER(F188),ISNUMBER(H188)),ROUND(F188*(1+H188),2),"")</f>
        <v>101.73</v>
      </c>
      <c r="K188" s="2">
        <f>IF(AND(ISNUMBER(I188),I188&gt;0,ISNUMBER(J188)),J188/I188-1,"")</f>
        <v>0.08005096082386665</v>
      </c>
      <c r="L188" t="s">
        <v>38</v>
      </c>
      <c r="M188" s="1">
        <v>8.97</v>
      </c>
      <c r="N188" s="1">
        <f>IF(AND(ISNUMBER(U188),U188&gt;0,ISNUMBER(J188)),ROUND(J188/U188,2),"")</f>
        <v>9.69</v>
      </c>
      <c r="Q188" t="s">
        <v>40</v>
      </c>
      <c r="R188" t="s">
        <v>39</v>
      </c>
      <c r="S188">
        <v>789843</v>
      </c>
      <c r="T188">
        <v>789843</v>
      </c>
      <c r="U188" s="3">
        <v>10.5</v>
      </c>
      <c r="X188" t="s">
        <v>41</v>
      </c>
      <c r="Z188" s="1">
        <v>94.19</v>
      </c>
      <c r="AA188" s="1">
        <f>IF(AND(ISNUMBER(Z188),ISNUMBER(I188),I188&gt;0,ISNUMBER(J188)),ROUND(Z188*J188/I188,2),"")</f>
        <v>101.73</v>
      </c>
      <c r="AB188" t="s">
        <v>369</v>
      </c>
      <c r="AC188" t="s">
        <v>318</v>
      </c>
      <c r="AD188" t="s">
        <v>44</v>
      </c>
      <c r="AE188" t="s">
        <v>45</v>
      </c>
    </row>
    <row r="189">
      <c r="A189">
        <v>816472</v>
      </c>
      <c r="B189">
        <v>816472</v>
      </c>
      <c r="C189" t="s">
        <v>370</v>
      </c>
      <c r="D189" t="s">
        <v>229</v>
      </c>
      <c r="E189" t="s">
        <v>371</v>
      </c>
      <c r="F189" s="1">
        <v>75.77</v>
      </c>
      <c r="G189" s="2">
        <v>0.6573841889930052</v>
      </c>
      <c r="H189" s="2">
        <v>0.79</v>
      </c>
      <c r="I189" s="1">
        <v>125.58</v>
      </c>
      <c r="J189" s="1">
        <f>IF(AND(ISNUMBER(F189),ISNUMBER(H189)),ROUND(F189*(1+H189),2),"")</f>
        <v>135.63</v>
      </c>
      <c r="K189" s="2">
        <f>IF(AND(ISNUMBER(I189),I189&gt;0,ISNUMBER(J189)),J189/I189-1,"")</f>
        <v>0.08002866698518862</v>
      </c>
      <c r="L189" t="s">
        <v>38</v>
      </c>
      <c r="M189" s="1">
        <v>8.37</v>
      </c>
      <c r="N189" s="1">
        <f>IF(AND(ISNUMBER(U189),U189&gt;0,ISNUMBER(J189)),ROUND(J189/U189,2),"")</f>
        <v>9.04</v>
      </c>
      <c r="Q189" t="s">
        <v>40</v>
      </c>
      <c r="R189" t="s">
        <v>39</v>
      </c>
      <c r="S189">
        <v>538956</v>
      </c>
      <c r="T189">
        <v>538956</v>
      </c>
      <c r="U189" s="3">
        <v>15.004999999999999</v>
      </c>
      <c r="X189" t="s">
        <v>41</v>
      </c>
      <c r="Z189" s="1">
        <v>125.58</v>
      </c>
      <c r="AA189" s="1">
        <f>IF(AND(ISNUMBER(Z189),ISNUMBER(I189),I189&gt;0,ISNUMBER(J189)),ROUND(Z189*J189/I189,2),"")</f>
        <v>135.63</v>
      </c>
      <c r="AB189" t="s">
        <v>372</v>
      </c>
      <c r="AC189" t="s">
        <v>318</v>
      </c>
      <c r="AD189" t="s">
        <v>48</v>
      </c>
      <c r="AE189" t="s">
        <v>45</v>
      </c>
    </row>
    <row r="190">
      <c r="A190">
        <v>910776</v>
      </c>
      <c r="B190">
        <v>910776</v>
      </c>
      <c r="C190" t="s">
        <v>373</v>
      </c>
      <c r="D190" t="s">
        <v>229</v>
      </c>
      <c r="E190" t="s">
        <v>374</v>
      </c>
      <c r="F190" s="1">
        <v>67.65</v>
      </c>
      <c r="G190" s="2">
        <v>0.6573540280857353</v>
      </c>
      <c r="H190" s="2">
        <v>0.7899</v>
      </c>
      <c r="I190" s="1">
        <v>112.12</v>
      </c>
      <c r="J190" s="1">
        <f>IF(AND(ISNUMBER(F190),ISNUMBER(H190)),ROUND(F190*(1+H190),2),"")</f>
        <v>121.09</v>
      </c>
      <c r="K190" s="2">
        <f>IF(AND(ISNUMBER(I190),I190&gt;0,ISNUMBER(J190)),J190/I190-1,"")</f>
        <v>0.08000356760613636</v>
      </c>
      <c r="L190" t="s">
        <v>38</v>
      </c>
      <c r="M190" s="1">
        <v>8.62</v>
      </c>
      <c r="N190" s="1">
        <f>IF(AND(ISNUMBER(U190),U190&gt;0,ISNUMBER(J190)),ROUND(J190/U190,2),"")</f>
        <v>9.31</v>
      </c>
      <c r="Q190" t="s">
        <v>40</v>
      </c>
      <c r="R190" t="s">
        <v>39</v>
      </c>
      <c r="S190">
        <v>655864</v>
      </c>
      <c r="T190">
        <v>655864</v>
      </c>
      <c r="U190" s="3">
        <v>13.004999999999999</v>
      </c>
      <c r="X190" t="s">
        <v>41</v>
      </c>
      <c r="Z190" s="1">
        <v>112.12</v>
      </c>
      <c r="AA190" s="1">
        <f>IF(AND(ISNUMBER(Z190),ISNUMBER(I190),I190&gt;0,ISNUMBER(J190)),ROUND(Z190*J190/I190,2),"")</f>
        <v>121.09</v>
      </c>
      <c r="AB190" t="s">
        <v>375</v>
      </c>
      <c r="AC190" t="s">
        <v>318</v>
      </c>
      <c r="AD190" t="s">
        <v>44</v>
      </c>
      <c r="AE190" t="s">
        <v>45</v>
      </c>
    </row>
    <row r="191">
      <c r="A191">
        <v>921372</v>
      </c>
      <c r="B191">
        <v>921372</v>
      </c>
      <c r="C191" t="s">
        <v>376</v>
      </c>
      <c r="D191" t="s">
        <v>229</v>
      </c>
      <c r="E191" t="s">
        <v>192</v>
      </c>
      <c r="F191" s="1">
        <v>7.8</v>
      </c>
      <c r="G191" s="2">
        <v>0.38</v>
      </c>
      <c r="H191" s="2">
        <v>0.4904</v>
      </c>
      <c r="I191" s="1">
        <v>10.76</v>
      </c>
      <c r="J191" s="1">
        <f>IF(AND(ISNUMBER(F191),ISNUMBER(H191)),ROUND(F191*(1+H191),2),"")</f>
        <v>11.63</v>
      </c>
      <c r="K191" s="2">
        <f>IF(AND(ISNUMBER(I191),I191&gt;0,ISNUMBER(J191)),J191/I191-1,"")</f>
        <v>0.08085501858736066</v>
      </c>
      <c r="L191" t="s">
        <v>38</v>
      </c>
      <c r="N191" s="1" t="s">
        <f>IF(AND(ISNUMBER(U191),U191&gt;0,ISNUMBER(J191)),ROUND(J191/U191,2),"")</f>
        <v>39</v>
      </c>
      <c r="Q191" t="s">
        <v>40</v>
      </c>
      <c r="R191" t="s">
        <v>39</v>
      </c>
      <c r="S191">
        <v>667825</v>
      </c>
      <c r="T191">
        <v>667825</v>
      </c>
      <c r="X191" t="s">
        <v>41</v>
      </c>
      <c r="Z191" s="1">
        <v>10.76</v>
      </c>
      <c r="AA191" s="1">
        <f>IF(AND(ISNUMBER(Z191),ISNUMBER(I191),I191&gt;0,ISNUMBER(J191)),ROUND(Z191*J191/I191,2),"")</f>
        <v>11.63</v>
      </c>
      <c r="AB191" t="s">
        <v>42</v>
      </c>
      <c r="AC191" t="s">
        <v>377</v>
      </c>
      <c r="AD191" t="s">
        <v>48</v>
      </c>
      <c r="AE191" t="s">
        <v>45</v>
      </c>
    </row>
    <row r="192">
      <c r="A192">
        <v>805693</v>
      </c>
      <c r="B192">
        <v>805693</v>
      </c>
      <c r="C192" t="s">
        <v>378</v>
      </c>
      <c r="D192" t="s">
        <v>229</v>
      </c>
      <c r="E192" t="s">
        <v>192</v>
      </c>
      <c r="F192" s="1">
        <v>10.55</v>
      </c>
      <c r="G192" s="2">
        <v>0.6574</v>
      </c>
      <c r="H192" s="2">
        <v>0.79</v>
      </c>
      <c r="I192" s="1">
        <v>17.49</v>
      </c>
      <c r="J192" s="1">
        <f>IF(AND(ISNUMBER(F192),ISNUMBER(H192)),ROUND(F192*(1+H192),2),"")</f>
        <v>18.88</v>
      </c>
      <c r="K192" s="2">
        <f>IF(AND(ISNUMBER(I192),I192&gt;0,ISNUMBER(J192)),J192/I192-1,"")</f>
        <v>0.07947398513436243</v>
      </c>
      <c r="L192" t="s">
        <v>38</v>
      </c>
      <c r="N192" s="1" t="s">
        <f>IF(AND(ISNUMBER(U192),U192&gt;0,ISNUMBER(J192)),ROUND(J192/U192,2),"")</f>
        <v>39</v>
      </c>
      <c r="Q192" t="s">
        <v>40</v>
      </c>
      <c r="R192" t="s">
        <v>39</v>
      </c>
      <c r="S192">
        <v>526746</v>
      </c>
      <c r="T192">
        <v>526746</v>
      </c>
      <c r="X192" t="s">
        <v>41</v>
      </c>
      <c r="Z192" s="1">
        <v>17.49</v>
      </c>
      <c r="AA192" s="1">
        <f>IF(AND(ISNUMBER(Z192),ISNUMBER(I192),I192&gt;0,ISNUMBER(J192)),ROUND(Z192*J192/I192,2),"")</f>
        <v>18.88</v>
      </c>
      <c r="AB192" t="s">
        <v>42</v>
      </c>
      <c r="AC192" t="s">
        <v>43</v>
      </c>
      <c r="AD192" t="s">
        <v>48</v>
      </c>
      <c r="AE192" t="s">
        <v>45</v>
      </c>
    </row>
    <row r="193">
      <c r="A193">
        <v>806151</v>
      </c>
      <c r="B193">
        <v>806151</v>
      </c>
      <c r="C193" t="s">
        <v>379</v>
      </c>
      <c r="D193" t="s">
        <v>229</v>
      </c>
      <c r="E193" t="s">
        <v>380</v>
      </c>
      <c r="F193" s="1">
        <v>245</v>
      </c>
      <c r="G193" s="2">
        <v>0.6574</v>
      </c>
      <c r="H193" s="2">
        <v>0.79</v>
      </c>
      <c r="I193" s="1">
        <v>406.06</v>
      </c>
      <c r="J193" s="1">
        <f>IF(AND(ISNUMBER(F193),ISNUMBER(H193)),ROUND(F193*(1+H193),2),"")</f>
        <v>438.55</v>
      </c>
      <c r="K193" s="2">
        <f>IF(AND(ISNUMBER(I193),I193&gt;0,ISNUMBER(J193)),J193/I193-1,"")</f>
        <v>0.08001280598926264</v>
      </c>
      <c r="L193" t="s">
        <v>38</v>
      </c>
      <c r="N193" s="1" t="s">
        <f>IF(AND(ISNUMBER(U193),U193&gt;0,ISNUMBER(J193)),ROUND(J193/U193,2),"")</f>
        <v>39</v>
      </c>
      <c r="Q193" t="s">
        <v>40</v>
      </c>
      <c r="R193" t="s">
        <v>39</v>
      </c>
      <c r="S193">
        <v>527216</v>
      </c>
      <c r="T193">
        <v>527216</v>
      </c>
      <c r="X193" t="s">
        <v>41</v>
      </c>
      <c r="Z193" s="1">
        <v>406.06</v>
      </c>
      <c r="AA193" s="1">
        <f>IF(AND(ISNUMBER(Z193),ISNUMBER(I193),I193&gt;0,ISNUMBER(J193)),ROUND(Z193*J193/I193,2),"")</f>
        <v>438.55</v>
      </c>
      <c r="AB193" t="s">
        <v>42</v>
      </c>
      <c r="AC193" t="s">
        <v>43</v>
      </c>
      <c r="AD193" t="s">
        <v>44</v>
      </c>
      <c r="AE193" t="s">
        <v>45</v>
      </c>
    </row>
    <row r="194">
      <c r="A194">
        <v>805701</v>
      </c>
      <c r="B194">
        <v>805701</v>
      </c>
      <c r="C194" t="s">
        <v>381</v>
      </c>
      <c r="D194" t="s">
        <v>229</v>
      </c>
      <c r="E194" t="s">
        <v>382</v>
      </c>
      <c r="F194" s="1">
        <v>13.72</v>
      </c>
      <c r="G194" s="2">
        <v>0.6574</v>
      </c>
      <c r="H194" s="2">
        <v>0.79</v>
      </c>
      <c r="I194" s="1">
        <v>22.74</v>
      </c>
      <c r="J194" s="1">
        <f>IF(AND(ISNUMBER(F194),ISNUMBER(H194)),ROUND(F194*(1+H194),2),"")</f>
        <v>24.56</v>
      </c>
      <c r="K194" s="2">
        <f>IF(AND(ISNUMBER(I194),I194&gt;0,ISNUMBER(J194)),J194/I194-1,"")</f>
        <v>0.08003518029903245</v>
      </c>
      <c r="L194" t="s">
        <v>38</v>
      </c>
      <c r="M194" s="1">
        <v>17.49</v>
      </c>
      <c r="N194" s="1">
        <f>IF(AND(ISNUMBER(U194),U194&gt;0,ISNUMBER(J194)),ROUND(J194/U194,2),"")</f>
        <v>18.89</v>
      </c>
      <c r="O194" s="1">
        <v>19.5</v>
      </c>
      <c r="P194" s="1">
        <v>21.06</v>
      </c>
      <c r="Q194" t="s">
        <v>40</v>
      </c>
      <c r="R194" t="s">
        <v>39</v>
      </c>
      <c r="S194">
        <v>526754</v>
      </c>
      <c r="T194">
        <v>526754</v>
      </c>
      <c r="U194" s="3">
        <v>1.3</v>
      </c>
      <c r="V194" s="1">
        <v>19.5</v>
      </c>
      <c r="W194" s="1">
        <v>21.06</v>
      </c>
      <c r="X194" t="s">
        <v>240</v>
      </c>
      <c r="Y194" t="s">
        <v>383</v>
      </c>
      <c r="Z194" s="1">
        <v>22.74</v>
      </c>
      <c r="AA194" s="1">
        <f>IF(AND(ISNUMBER(Z194),ISNUMBER(I194),I194&gt;0,ISNUMBER(J194)),ROUND(Z194*J194/I194,2),"")</f>
        <v>24.56</v>
      </c>
      <c r="AB194" t="s">
        <v>42</v>
      </c>
      <c r="AC194" t="s">
        <v>242</v>
      </c>
      <c r="AD194" t="s">
        <v>48</v>
      </c>
      <c r="AE194" t="s">
        <v>45</v>
      </c>
    </row>
    <row r="195">
      <c r="A195">
        <v>825835</v>
      </c>
      <c r="B195">
        <v>825835</v>
      </c>
      <c r="C195" t="s">
        <v>384</v>
      </c>
      <c r="D195" t="s">
        <v>229</v>
      </c>
      <c r="E195" t="s">
        <v>261</v>
      </c>
      <c r="F195" s="1">
        <v>5.41</v>
      </c>
      <c r="G195" s="2">
        <v>0.6574</v>
      </c>
      <c r="H195" s="2">
        <v>0.79</v>
      </c>
      <c r="I195" s="1">
        <v>8.97</v>
      </c>
      <c r="J195" s="1">
        <f>IF(AND(ISNUMBER(F195),ISNUMBER(H195)),ROUND(F195*(1+H195),2),"")</f>
        <v>9.68</v>
      </c>
      <c r="K195" s="2">
        <f>IF(AND(ISNUMBER(I195),I195&gt;0,ISNUMBER(J195)),J195/I195-1,"")</f>
        <v>0.07915273132664424</v>
      </c>
      <c r="L195" t="s">
        <v>38</v>
      </c>
      <c r="M195" s="1">
        <v>2.24</v>
      </c>
      <c r="N195" s="1">
        <f>IF(AND(ISNUMBER(U195),U195&gt;0,ISNUMBER(J195)),ROUND(J195/U195,2),"")</f>
        <v>2.42</v>
      </c>
      <c r="O195" s="1">
        <v>2.5</v>
      </c>
      <c r="P195" s="1">
        <v>2.7</v>
      </c>
      <c r="Q195" t="s">
        <v>40</v>
      </c>
      <c r="R195" t="s">
        <v>39</v>
      </c>
      <c r="S195">
        <v>549814</v>
      </c>
      <c r="T195">
        <v>549814</v>
      </c>
      <c r="U195" s="3">
        <v>4</v>
      </c>
      <c r="V195" s="1">
        <v>2.5</v>
      </c>
      <c r="W195" s="1">
        <v>2.7</v>
      </c>
      <c r="X195" t="s">
        <v>274</v>
      </c>
      <c r="Y195" t="s">
        <v>385</v>
      </c>
      <c r="Z195" s="1">
        <v>8.97</v>
      </c>
      <c r="AA195" s="1">
        <f>IF(AND(ISNUMBER(Z195),ISNUMBER(I195),I195&gt;0,ISNUMBER(J195)),ROUND(Z195*J195/I195,2),"")</f>
        <v>9.68</v>
      </c>
      <c r="AB195" t="s">
        <v>42</v>
      </c>
      <c r="AC195" t="s">
        <v>276</v>
      </c>
      <c r="AD195" t="s">
        <v>48</v>
      </c>
      <c r="AE195" t="s">
        <v>45</v>
      </c>
    </row>
    <row r="196">
      <c r="A196">
        <v>922133</v>
      </c>
      <c r="B196">
        <v>922133</v>
      </c>
      <c r="C196" t="s">
        <v>386</v>
      </c>
      <c r="D196" t="s">
        <v>229</v>
      </c>
      <c r="E196" t="s">
        <v>387</v>
      </c>
      <c r="F196" s="1">
        <v>10.23</v>
      </c>
      <c r="G196" s="2">
        <v>0.6574</v>
      </c>
      <c r="H196" s="2">
        <v>0.79</v>
      </c>
      <c r="I196" s="1">
        <v>16.96</v>
      </c>
      <c r="J196" s="1">
        <f>IF(AND(ISNUMBER(F196),ISNUMBER(H196)),ROUND(F196*(1+H196),2),"")</f>
        <v>18.31</v>
      </c>
      <c r="K196" s="2">
        <f>IF(AND(ISNUMBER(I196),I196&gt;0,ISNUMBER(J196)),J196/I196-1,"")</f>
        <v>0.07959905660377342</v>
      </c>
      <c r="L196" t="s">
        <v>38</v>
      </c>
      <c r="M196" s="1">
        <v>18.84</v>
      </c>
      <c r="N196" s="1">
        <f>IF(AND(ISNUMBER(U196),U196&gt;0,ISNUMBER(J196)),ROUND(J196/U196,2),"")</f>
        <v>20.34</v>
      </c>
      <c r="O196" s="1">
        <v>21</v>
      </c>
      <c r="P196" s="1">
        <v>22.68</v>
      </c>
      <c r="Q196" t="s">
        <v>40</v>
      </c>
      <c r="R196" t="s">
        <v>39</v>
      </c>
      <c r="S196">
        <v>669028</v>
      </c>
      <c r="T196">
        <v>669028</v>
      </c>
      <c r="U196" s="3">
        <v>0.9</v>
      </c>
      <c r="V196" s="1">
        <v>21</v>
      </c>
      <c r="W196" s="1">
        <v>22.68</v>
      </c>
      <c r="X196" t="s">
        <v>240</v>
      </c>
      <c r="Y196" t="s">
        <v>388</v>
      </c>
      <c r="Z196" s="1">
        <v>16.96</v>
      </c>
      <c r="AA196" s="1">
        <f>IF(AND(ISNUMBER(Z196),ISNUMBER(I196),I196&gt;0,ISNUMBER(J196)),ROUND(Z196*J196/I196,2),"")</f>
        <v>18.31</v>
      </c>
      <c r="AB196" t="s">
        <v>42</v>
      </c>
      <c r="AC196" t="s">
        <v>242</v>
      </c>
      <c r="AD196" t="s">
        <v>44</v>
      </c>
      <c r="AE196" t="s">
        <v>45</v>
      </c>
    </row>
    <row r="197">
      <c r="A197">
        <v>913064</v>
      </c>
      <c r="B197">
        <v>913064</v>
      </c>
      <c r="C197" t="s">
        <v>389</v>
      </c>
      <c r="D197" t="s">
        <v>229</v>
      </c>
      <c r="E197" t="s">
        <v>390</v>
      </c>
      <c r="F197" s="1">
        <v>19.89</v>
      </c>
      <c r="G197" s="2">
        <v>0.4917</v>
      </c>
      <c r="H197" s="2">
        <v>0.611</v>
      </c>
      <c r="I197" s="1">
        <v>29.67</v>
      </c>
      <c r="J197" s="1">
        <f>IF(AND(ISNUMBER(F197),ISNUMBER(H197)),ROUND(F197*(1+H197),2),"")</f>
        <v>32.04</v>
      </c>
      <c r="K197" s="2">
        <f>IF(AND(ISNUMBER(I197),I197&gt;0,ISNUMBER(J197)),J197/I197-1,"")</f>
        <v>0.07987866531850352</v>
      </c>
      <c r="L197" t="s">
        <v>340</v>
      </c>
      <c r="M197" s="1">
        <v>16.95</v>
      </c>
      <c r="N197" s="1">
        <f>IF(AND(ISNUMBER(U197),U197&gt;0,ISNUMBER(J197)),ROUND(J197/U197,2),"")</f>
        <v>18.31</v>
      </c>
      <c r="Q197" t="s">
        <v>40</v>
      </c>
      <c r="R197" t="s">
        <v>39</v>
      </c>
      <c r="S197">
        <v>658487</v>
      </c>
      <c r="T197">
        <v>658487</v>
      </c>
      <c r="U197" s="3">
        <v>1.75</v>
      </c>
      <c r="X197" t="s">
        <v>41</v>
      </c>
      <c r="Z197" s="1">
        <v>32.97</v>
      </c>
      <c r="AA197" s="1">
        <f>IF(AND(ISNUMBER(Z197),ISNUMBER(I197),I197&gt;0,ISNUMBER(J197)),ROUND(Z197*J197/I197,2),"")</f>
        <v>35.6</v>
      </c>
      <c r="AB197" t="s">
        <v>42</v>
      </c>
      <c r="AC197" t="s">
        <v>341</v>
      </c>
      <c r="AD197" t="s">
        <v>48</v>
      </c>
      <c r="AE197" t="s">
        <v>45</v>
      </c>
    </row>
    <row r="198">
      <c r="A198">
        <v>882704</v>
      </c>
      <c r="B198">
        <v>882704</v>
      </c>
      <c r="C198" t="s">
        <v>391</v>
      </c>
      <c r="D198" t="s">
        <v>229</v>
      </c>
      <c r="E198" t="s">
        <v>212</v>
      </c>
      <c r="F198" s="1">
        <v>11.64</v>
      </c>
      <c r="G198" s="2">
        <v>0.6574</v>
      </c>
      <c r="H198" s="2">
        <v>0.79</v>
      </c>
      <c r="I198" s="1">
        <v>19.29</v>
      </c>
      <c r="J198" s="1">
        <f>IF(AND(ISNUMBER(F198),ISNUMBER(H198)),ROUND(F198*(1+H198),2),"")</f>
        <v>20.84</v>
      </c>
      <c r="K198" s="2">
        <f>IF(AND(ISNUMBER(I198),I198&gt;0,ISNUMBER(J198)),J198/I198-1,"")</f>
        <v>0.08035251425609125</v>
      </c>
      <c r="L198" t="s">
        <v>38</v>
      </c>
      <c r="M198" s="1">
        <v>25.72</v>
      </c>
      <c r="N198" s="1">
        <f>IF(AND(ISNUMBER(U198),U198&gt;0,ISNUMBER(J198)),ROUND(J198/U198,2),"")</f>
        <v>27.79</v>
      </c>
      <c r="Q198" t="s">
        <v>40</v>
      </c>
      <c r="R198" t="s">
        <v>39</v>
      </c>
      <c r="S198">
        <v>619456</v>
      </c>
      <c r="T198">
        <v>619456</v>
      </c>
      <c r="U198" s="3">
        <v>0.75</v>
      </c>
      <c r="X198" t="s">
        <v>41</v>
      </c>
      <c r="Z198" s="1">
        <v>19.29</v>
      </c>
      <c r="AA198" s="1">
        <f>IF(AND(ISNUMBER(Z198),ISNUMBER(I198),I198&gt;0,ISNUMBER(J198)),ROUND(Z198*J198/I198,2),"")</f>
        <v>20.84</v>
      </c>
      <c r="AB198" t="s">
        <v>42</v>
      </c>
      <c r="AC198" t="s">
        <v>43</v>
      </c>
      <c r="AD198" t="s">
        <v>48</v>
      </c>
      <c r="AE198" t="s">
        <v>45</v>
      </c>
    </row>
    <row r="199">
      <c r="A199">
        <v>939774</v>
      </c>
      <c r="B199">
        <v>939774</v>
      </c>
      <c r="C199" t="s">
        <v>392</v>
      </c>
      <c r="D199" t="s">
        <v>229</v>
      </c>
      <c r="E199" t="s">
        <v>393</v>
      </c>
      <c r="F199" s="1">
        <v>4.88</v>
      </c>
      <c r="G199" s="2">
        <v>0.6574</v>
      </c>
      <c r="H199" s="2">
        <v>0.79</v>
      </c>
      <c r="I199" s="1">
        <v>8.09</v>
      </c>
      <c r="J199" s="1">
        <f>IF(AND(ISNUMBER(F199),ISNUMBER(H199)),ROUND(F199*(1+H199),2),"")</f>
        <v>8.74</v>
      </c>
      <c r="K199" s="2">
        <f>IF(AND(ISNUMBER(I199),I199&gt;0,ISNUMBER(J199)),J199/I199-1,"")</f>
        <v>0.08034610630407912</v>
      </c>
      <c r="L199" t="s">
        <v>38</v>
      </c>
      <c r="M199" s="1">
        <v>8.52</v>
      </c>
      <c r="N199" s="1">
        <f>IF(AND(ISNUMBER(U199),U199&gt;0,ISNUMBER(J199)),ROUND(J199/U199,2),"")</f>
        <v>9.2</v>
      </c>
      <c r="O199" s="1">
        <v>9.5</v>
      </c>
      <c r="P199" s="1">
        <v>10.26</v>
      </c>
      <c r="Q199" t="s">
        <v>40</v>
      </c>
      <c r="R199" t="s">
        <v>39</v>
      </c>
      <c r="S199">
        <v>693441</v>
      </c>
      <c r="T199">
        <v>693441</v>
      </c>
      <c r="U199" s="3">
        <v>0.95</v>
      </c>
      <c r="V199" s="1">
        <v>9.5</v>
      </c>
      <c r="W199" s="1">
        <v>10.26</v>
      </c>
      <c r="X199" t="s">
        <v>240</v>
      </c>
      <c r="Y199" t="s">
        <v>394</v>
      </c>
      <c r="Z199" s="1">
        <v>8.09</v>
      </c>
      <c r="AA199" s="1">
        <f>IF(AND(ISNUMBER(Z199),ISNUMBER(I199),I199&gt;0,ISNUMBER(J199)),ROUND(Z199*J199/I199,2),"")</f>
        <v>8.74</v>
      </c>
      <c r="AB199" t="s">
        <v>42</v>
      </c>
      <c r="AC199" t="s">
        <v>242</v>
      </c>
      <c r="AD199" t="s">
        <v>48</v>
      </c>
      <c r="AE199" t="s">
        <v>45</v>
      </c>
    </row>
    <row r="200">
      <c r="A200">
        <v>825839</v>
      </c>
      <c r="B200">
        <v>825839</v>
      </c>
      <c r="C200" t="s">
        <v>395</v>
      </c>
      <c r="D200" t="s">
        <v>229</v>
      </c>
      <c r="E200" t="s">
        <v>396</v>
      </c>
      <c r="F200" s="1">
        <v>14.25</v>
      </c>
      <c r="G200" s="2">
        <v>0.6574</v>
      </c>
      <c r="H200" s="2">
        <v>0.79</v>
      </c>
      <c r="I200" s="1">
        <v>23.62</v>
      </c>
      <c r="J200" s="1">
        <f>IF(AND(ISNUMBER(F200),ISNUMBER(H200)),ROUND(F200*(1+H200),2),"")</f>
        <v>25.51</v>
      </c>
      <c r="K200" s="2">
        <f>IF(AND(ISNUMBER(I200),I200&gt;0,ISNUMBER(J200)),J200/I200-1,"")</f>
        <v>0.08001693480101602</v>
      </c>
      <c r="L200" t="s">
        <v>38</v>
      </c>
      <c r="M200" s="1">
        <v>19.28</v>
      </c>
      <c r="N200" s="1">
        <f>IF(AND(ISNUMBER(U200),U200&gt;0,ISNUMBER(J200)),ROUND(J200/U200,2),"")</f>
        <v>20.82</v>
      </c>
      <c r="O200" s="1">
        <v>21.5</v>
      </c>
      <c r="P200" s="1">
        <v>23.22</v>
      </c>
      <c r="Q200" t="s">
        <v>40</v>
      </c>
      <c r="R200" t="s">
        <v>39</v>
      </c>
      <c r="S200">
        <v>549818</v>
      </c>
      <c r="T200">
        <v>549818</v>
      </c>
      <c r="U200" s="3">
        <v>1.225</v>
      </c>
      <c r="V200" s="1">
        <v>21.5</v>
      </c>
      <c r="W200" s="1">
        <v>23.22</v>
      </c>
      <c r="X200" t="s">
        <v>240</v>
      </c>
      <c r="Y200" t="s">
        <v>397</v>
      </c>
      <c r="Z200" s="1">
        <v>23.62</v>
      </c>
      <c r="AA200" s="1">
        <f>IF(AND(ISNUMBER(Z200),ISNUMBER(I200),I200&gt;0,ISNUMBER(J200)),ROUND(Z200*J200/I200,2),"")</f>
        <v>25.51</v>
      </c>
      <c r="AB200" t="s">
        <v>42</v>
      </c>
      <c r="AC200" t="s">
        <v>242</v>
      </c>
      <c r="AD200" t="s">
        <v>48</v>
      </c>
      <c r="AE200" t="s">
        <v>45</v>
      </c>
    </row>
    <row r="201">
      <c r="A201">
        <v>805703</v>
      </c>
      <c r="B201">
        <v>805703</v>
      </c>
      <c r="C201" t="s">
        <v>398</v>
      </c>
      <c r="D201" t="s">
        <v>229</v>
      </c>
      <c r="E201" t="s">
        <v>399</v>
      </c>
      <c r="F201" s="1">
        <v>10.91</v>
      </c>
      <c r="G201" s="2">
        <v>0.6574</v>
      </c>
      <c r="H201" s="2">
        <v>0.79</v>
      </c>
      <c r="I201" s="1">
        <v>18.08</v>
      </c>
      <c r="J201" s="1">
        <f>IF(AND(ISNUMBER(F201),ISNUMBER(H201)),ROUND(F201*(1+H201),2),"")</f>
        <v>19.53</v>
      </c>
      <c r="K201" s="2">
        <f>IF(AND(ISNUMBER(I201),I201&gt;0,ISNUMBER(J201)),J201/I201-1,"")</f>
        <v>0.08019911504424804</v>
      </c>
      <c r="L201" t="s">
        <v>38</v>
      </c>
      <c r="M201" s="1">
        <v>13.91</v>
      </c>
      <c r="N201" s="1">
        <f>IF(AND(ISNUMBER(U201),U201&gt;0,ISNUMBER(J201)),ROUND(J201/U201,2),"")</f>
        <v>15.02</v>
      </c>
      <c r="O201" s="1">
        <v>21.5</v>
      </c>
      <c r="P201" s="1">
        <v>23.22</v>
      </c>
      <c r="Q201" t="s">
        <v>40</v>
      </c>
      <c r="R201" t="s">
        <v>39</v>
      </c>
      <c r="S201">
        <v>526756</v>
      </c>
      <c r="T201">
        <v>526756</v>
      </c>
      <c r="U201" s="3">
        <v>1.3</v>
      </c>
      <c r="V201" s="1">
        <v>21.5</v>
      </c>
      <c r="W201" s="1">
        <v>23.22</v>
      </c>
      <c r="X201" t="s">
        <v>240</v>
      </c>
      <c r="Y201" t="s">
        <v>400</v>
      </c>
      <c r="Z201" s="1">
        <v>18.08</v>
      </c>
      <c r="AA201" s="1">
        <f>IF(AND(ISNUMBER(Z201),ISNUMBER(I201),I201&gt;0,ISNUMBER(J201)),ROUND(Z201*J201/I201,2),"")</f>
        <v>19.53</v>
      </c>
      <c r="AB201" t="s">
        <v>42</v>
      </c>
      <c r="AC201" t="s">
        <v>242</v>
      </c>
      <c r="AD201" t="s">
        <v>48</v>
      </c>
      <c r="AE201" t="s">
        <v>45</v>
      </c>
    </row>
    <row r="202">
      <c r="A202">
        <v>825840</v>
      </c>
      <c r="B202">
        <v>825840</v>
      </c>
      <c r="C202" t="s">
        <v>401</v>
      </c>
      <c r="D202" t="s">
        <v>229</v>
      </c>
      <c r="E202" t="s">
        <v>354</v>
      </c>
      <c r="F202" s="1">
        <v>9.47</v>
      </c>
      <c r="G202" s="2">
        <v>0.6574</v>
      </c>
      <c r="H202" s="2">
        <v>0.79</v>
      </c>
      <c r="I202" s="1">
        <v>15.7</v>
      </c>
      <c r="J202" s="1">
        <f>IF(AND(ISNUMBER(F202),ISNUMBER(H202)),ROUND(F202*(1+H202),2),"")</f>
        <v>16.95</v>
      </c>
      <c r="K202" s="2">
        <f>IF(AND(ISNUMBER(I202),I202&gt;0,ISNUMBER(J202)),J202/I202-1,"")</f>
        <v>0.07961783439490455</v>
      </c>
      <c r="L202" t="s">
        <v>38</v>
      </c>
      <c r="M202" s="1">
        <v>12.56</v>
      </c>
      <c r="N202" s="1">
        <f>IF(AND(ISNUMBER(U202),U202&gt;0,ISNUMBER(J202)),ROUND(J202/U202,2),"")</f>
        <v>13.56</v>
      </c>
      <c r="O202" s="1">
        <v>14</v>
      </c>
      <c r="P202" s="1">
        <v>15.12</v>
      </c>
      <c r="Q202" t="s">
        <v>40</v>
      </c>
      <c r="R202" t="s">
        <v>39</v>
      </c>
      <c r="S202">
        <v>549819</v>
      </c>
      <c r="T202">
        <v>549819</v>
      </c>
      <c r="U202" s="3">
        <v>1.25</v>
      </c>
      <c r="V202" s="1">
        <v>14</v>
      </c>
      <c r="W202" s="1">
        <v>15.12</v>
      </c>
      <c r="X202" t="s">
        <v>240</v>
      </c>
      <c r="Y202" t="s">
        <v>402</v>
      </c>
      <c r="Z202" s="1">
        <v>15.7</v>
      </c>
      <c r="AA202" s="1">
        <f>IF(AND(ISNUMBER(Z202),ISNUMBER(I202),I202&gt;0,ISNUMBER(J202)),ROUND(Z202*J202/I202,2),"")</f>
        <v>16.95</v>
      </c>
      <c r="AB202" t="s">
        <v>42</v>
      </c>
      <c r="AC202" t="s">
        <v>242</v>
      </c>
      <c r="AD202" t="s">
        <v>48</v>
      </c>
      <c r="AE202" t="s">
        <v>45</v>
      </c>
    </row>
    <row r="203">
      <c r="A203">
        <v>805710</v>
      </c>
      <c r="B203">
        <v>805710</v>
      </c>
      <c r="C203" t="s">
        <v>403</v>
      </c>
      <c r="D203" t="s">
        <v>229</v>
      </c>
      <c r="E203" t="s">
        <v>404</v>
      </c>
      <c r="F203" s="1">
        <v>14.61</v>
      </c>
      <c r="G203" s="2">
        <v>0.6574</v>
      </c>
      <c r="H203" s="2">
        <v>0.79</v>
      </c>
      <c r="I203" s="1">
        <v>24.21</v>
      </c>
      <c r="J203" s="1">
        <f>IF(AND(ISNUMBER(F203),ISNUMBER(H203)),ROUND(F203*(1+H203),2),"")</f>
        <v>26.15</v>
      </c>
      <c r="K203" s="2">
        <f>IF(AND(ISNUMBER(I203),I203&gt;0,ISNUMBER(J203)),J203/I203-1,"")</f>
        <v>0.08013217678645179</v>
      </c>
      <c r="L203" t="s">
        <v>38</v>
      </c>
      <c r="M203" s="1">
        <v>10.76</v>
      </c>
      <c r="N203" s="1">
        <f>IF(AND(ISNUMBER(U203),U203&gt;0,ISNUMBER(J203)),ROUND(J203/U203,2),"")</f>
        <v>11.62</v>
      </c>
      <c r="O203" s="1">
        <v>12</v>
      </c>
      <c r="P203" s="1">
        <v>12.96</v>
      </c>
      <c r="Q203" t="s">
        <v>40</v>
      </c>
      <c r="R203" t="s">
        <v>39</v>
      </c>
      <c r="S203">
        <v>526763</v>
      </c>
      <c r="T203">
        <v>526763</v>
      </c>
      <c r="U203" s="3">
        <v>2.25</v>
      </c>
      <c r="V203" s="1">
        <v>12</v>
      </c>
      <c r="W203" s="1">
        <v>12.96</v>
      </c>
      <c r="X203" t="s">
        <v>240</v>
      </c>
      <c r="Y203" t="s">
        <v>405</v>
      </c>
      <c r="Z203" s="1">
        <v>24.21</v>
      </c>
      <c r="AA203" s="1">
        <f>IF(AND(ISNUMBER(Z203),ISNUMBER(I203),I203&gt;0,ISNUMBER(J203)),ROUND(Z203*J203/I203,2),"")</f>
        <v>26.15</v>
      </c>
      <c r="AB203" t="s">
        <v>42</v>
      </c>
      <c r="AC203" t="s">
        <v>242</v>
      </c>
      <c r="AD203" t="s">
        <v>48</v>
      </c>
      <c r="AE203" t="s">
        <v>45</v>
      </c>
    </row>
    <row r="204">
      <c r="A204">
        <v>805711</v>
      </c>
      <c r="B204">
        <v>805711</v>
      </c>
      <c r="C204" t="s">
        <v>406</v>
      </c>
      <c r="D204" t="s">
        <v>229</v>
      </c>
      <c r="E204" t="s">
        <v>407</v>
      </c>
      <c r="F204" s="1">
        <v>27.06</v>
      </c>
      <c r="G204" s="2">
        <v>0.6574</v>
      </c>
      <c r="H204" s="2">
        <v>0.79</v>
      </c>
      <c r="I204" s="1">
        <v>44.85</v>
      </c>
      <c r="J204" s="1">
        <f>IF(AND(ISNUMBER(F204),ISNUMBER(H204)),ROUND(F204*(1+H204),2),"")</f>
        <v>48.44</v>
      </c>
      <c r="K204" s="2">
        <f>IF(AND(ISNUMBER(I204),I204&gt;0,ISNUMBER(J204)),J204/I204-1,"")</f>
        <v>0.08004459308807133</v>
      </c>
      <c r="L204" t="s">
        <v>38</v>
      </c>
      <c r="M204" s="1">
        <v>17.94</v>
      </c>
      <c r="N204" s="1">
        <f>IF(AND(ISNUMBER(U204),U204&gt;0,ISNUMBER(J204)),ROUND(J204/U204,2),"")</f>
        <v>19.38</v>
      </c>
      <c r="O204" s="1">
        <v>20</v>
      </c>
      <c r="P204" s="1">
        <v>21.6</v>
      </c>
      <c r="Q204" t="s">
        <v>40</v>
      </c>
      <c r="R204" t="s">
        <v>39</v>
      </c>
      <c r="S204">
        <v>526764</v>
      </c>
      <c r="T204">
        <v>526764</v>
      </c>
      <c r="U204" s="3">
        <v>2.5</v>
      </c>
      <c r="V204" s="1">
        <v>20</v>
      </c>
      <c r="W204" s="1">
        <v>21.6</v>
      </c>
      <c r="X204" t="s">
        <v>240</v>
      </c>
      <c r="Y204" t="s">
        <v>408</v>
      </c>
      <c r="Z204" s="1">
        <v>44.85</v>
      </c>
      <c r="AA204" s="1">
        <f>IF(AND(ISNUMBER(Z204),ISNUMBER(I204),I204&gt;0,ISNUMBER(J204)),ROUND(Z204*J204/I204,2),"")</f>
        <v>48.44</v>
      </c>
      <c r="AB204" t="s">
        <v>42</v>
      </c>
      <c r="AC204" t="s">
        <v>242</v>
      </c>
      <c r="AD204" t="s">
        <v>44</v>
      </c>
      <c r="AE204" t="s">
        <v>45</v>
      </c>
    </row>
    <row r="205">
      <c r="A205">
        <v>805712</v>
      </c>
      <c r="B205">
        <v>805712</v>
      </c>
      <c r="C205" t="s">
        <v>409</v>
      </c>
      <c r="D205" t="s">
        <v>229</v>
      </c>
      <c r="E205" t="s">
        <v>410</v>
      </c>
      <c r="F205" s="1">
        <v>11.64</v>
      </c>
      <c r="G205" s="2">
        <v>0.6574</v>
      </c>
      <c r="H205" s="2">
        <v>0.79</v>
      </c>
      <c r="I205" s="1">
        <v>19.29</v>
      </c>
      <c r="J205" s="1">
        <f>IF(AND(ISNUMBER(F205),ISNUMBER(H205)),ROUND(F205*(1+H205),2),"")</f>
        <v>20.84</v>
      </c>
      <c r="K205" s="2">
        <f>IF(AND(ISNUMBER(I205),I205&gt;0,ISNUMBER(J205)),J205/I205-1,"")</f>
        <v>0.08035251425609125</v>
      </c>
      <c r="L205" t="s">
        <v>38</v>
      </c>
      <c r="M205" s="1">
        <v>19.29</v>
      </c>
      <c r="N205" s="1">
        <f>IF(AND(ISNUMBER(U205),U205&gt;0,ISNUMBER(J205)),ROUND(J205/U205,2),"")</f>
        <v>20.84</v>
      </c>
      <c r="O205" s="1">
        <v>21.5</v>
      </c>
      <c r="P205" s="1">
        <v>23.22</v>
      </c>
      <c r="Q205" t="s">
        <v>40</v>
      </c>
      <c r="R205" t="s">
        <v>39</v>
      </c>
      <c r="S205">
        <v>526765</v>
      </c>
      <c r="T205">
        <v>526765</v>
      </c>
      <c r="U205" s="3">
        <v>1</v>
      </c>
      <c r="V205" s="1">
        <v>21.5</v>
      </c>
      <c r="W205" s="1">
        <v>23.22</v>
      </c>
      <c r="X205" t="s">
        <v>240</v>
      </c>
      <c r="Y205" t="s">
        <v>411</v>
      </c>
      <c r="Z205" s="1">
        <v>19.29</v>
      </c>
      <c r="AA205" s="1">
        <f>IF(AND(ISNUMBER(Z205),ISNUMBER(I205),I205&gt;0,ISNUMBER(J205)),ROUND(Z205*J205/I205,2),"")</f>
        <v>20.84</v>
      </c>
      <c r="AB205" t="s">
        <v>42</v>
      </c>
      <c r="AC205" t="s">
        <v>242</v>
      </c>
      <c r="AD205" t="s">
        <v>48</v>
      </c>
      <c r="AE205" t="s">
        <v>45</v>
      </c>
    </row>
    <row r="206">
      <c r="A206">
        <v>963826</v>
      </c>
      <c r="B206">
        <v>963826</v>
      </c>
      <c r="C206" t="s">
        <v>412</v>
      </c>
      <c r="D206" t="s">
        <v>229</v>
      </c>
      <c r="E206" t="s">
        <v>212</v>
      </c>
      <c r="F206" s="1">
        <v>11.64</v>
      </c>
      <c r="G206" s="2">
        <v>0.6574</v>
      </c>
      <c r="H206" s="2">
        <v>0.79</v>
      </c>
      <c r="I206" s="1">
        <v>19.29</v>
      </c>
      <c r="J206" s="1">
        <f>IF(AND(ISNUMBER(F206),ISNUMBER(H206)),ROUND(F206*(1+H206),2),"")</f>
        <v>20.84</v>
      </c>
      <c r="K206" s="2">
        <f>IF(AND(ISNUMBER(I206),I206&gt;0,ISNUMBER(J206)),J206/I206-1,"")</f>
        <v>0.08035251425609125</v>
      </c>
      <c r="L206" t="s">
        <v>38</v>
      </c>
      <c r="M206" s="1">
        <v>25.72</v>
      </c>
      <c r="N206" s="1">
        <f>IF(AND(ISNUMBER(U206),U206&gt;0,ISNUMBER(J206)),ROUND(J206/U206,2),"")</f>
        <v>27.79</v>
      </c>
      <c r="O206" s="1">
        <v>28.67</v>
      </c>
      <c r="P206" s="1">
        <v>30.96</v>
      </c>
      <c r="Q206" t="s">
        <v>40</v>
      </c>
      <c r="R206" t="s">
        <v>39</v>
      </c>
      <c r="S206">
        <v>724882</v>
      </c>
      <c r="T206">
        <v>724882</v>
      </c>
      <c r="U206" s="3">
        <v>0.75</v>
      </c>
      <c r="V206" s="1">
        <v>21.5</v>
      </c>
      <c r="W206" s="1">
        <v>23.22</v>
      </c>
      <c r="X206" t="s">
        <v>244</v>
      </c>
      <c r="Y206" t="s">
        <v>413</v>
      </c>
      <c r="Z206" s="1">
        <v>19.29</v>
      </c>
      <c r="AA206" s="1">
        <f>IF(AND(ISNUMBER(Z206),ISNUMBER(I206),I206&gt;0,ISNUMBER(J206)),ROUND(Z206*J206/I206,2),"")</f>
        <v>20.84</v>
      </c>
      <c r="AB206" t="s">
        <v>42</v>
      </c>
      <c r="AC206" t="s">
        <v>246</v>
      </c>
      <c r="AD206" t="s">
        <v>44</v>
      </c>
      <c r="AE206" t="s">
        <v>45</v>
      </c>
    </row>
    <row r="207">
      <c r="A207">
        <v>805713</v>
      </c>
      <c r="B207">
        <v>805713</v>
      </c>
      <c r="C207" t="s">
        <v>414</v>
      </c>
      <c r="D207" t="s">
        <v>229</v>
      </c>
      <c r="E207" t="s">
        <v>415</v>
      </c>
      <c r="F207" s="1">
        <v>8.93</v>
      </c>
      <c r="G207" s="2">
        <v>0.6574</v>
      </c>
      <c r="H207" s="2">
        <v>0.79</v>
      </c>
      <c r="I207" s="1">
        <v>14.8</v>
      </c>
      <c r="J207" s="1">
        <f>IF(AND(ISNUMBER(F207),ISNUMBER(H207)),ROUND(F207*(1+H207),2),"")</f>
        <v>15.98</v>
      </c>
      <c r="K207" s="2">
        <f>IF(AND(ISNUMBER(I207),I207&gt;0,ISNUMBER(J207)),J207/I207-1,"")</f>
        <v>0.07972972972972969</v>
      </c>
      <c r="L207" t="s">
        <v>38</v>
      </c>
      <c r="M207" s="1">
        <v>78.93</v>
      </c>
      <c r="N207" s="1">
        <f>IF(AND(ISNUMBER(U207),U207&gt;0,ISNUMBER(J207)),ROUND(J207/U207,2),"")</f>
        <v>85.23</v>
      </c>
      <c r="O207" s="1">
        <v>88</v>
      </c>
      <c r="P207" s="1">
        <v>95.04</v>
      </c>
      <c r="Q207" t="s">
        <v>40</v>
      </c>
      <c r="R207" t="s">
        <v>39</v>
      </c>
      <c r="S207">
        <v>526766</v>
      </c>
      <c r="T207">
        <v>526766</v>
      </c>
      <c r="U207" s="3">
        <v>0.1875</v>
      </c>
      <c r="V207" s="1">
        <v>16.5</v>
      </c>
      <c r="W207" s="1">
        <v>17.82</v>
      </c>
      <c r="X207" t="s">
        <v>244</v>
      </c>
      <c r="Y207" t="s">
        <v>416</v>
      </c>
      <c r="Z207" s="1">
        <v>14.8</v>
      </c>
      <c r="AA207" s="1">
        <f>IF(AND(ISNUMBER(Z207),ISNUMBER(I207),I207&gt;0,ISNUMBER(J207)),ROUND(Z207*J207/I207,2),"")</f>
        <v>15.98</v>
      </c>
      <c r="AB207" t="s">
        <v>42</v>
      </c>
      <c r="AC207" t="s">
        <v>246</v>
      </c>
      <c r="AD207" t="s">
        <v>44</v>
      </c>
      <c r="AE207" t="s">
        <v>45</v>
      </c>
    </row>
    <row r="208">
      <c r="A208">
        <v>805688</v>
      </c>
      <c r="B208">
        <v>805688</v>
      </c>
      <c r="C208" t="s">
        <v>417</v>
      </c>
      <c r="D208" t="s">
        <v>229</v>
      </c>
      <c r="E208" t="s">
        <v>418</v>
      </c>
      <c r="F208" s="1">
        <v>6.49</v>
      </c>
      <c r="G208" s="2">
        <v>0.6574</v>
      </c>
      <c r="H208" s="2">
        <v>0.79</v>
      </c>
      <c r="I208" s="1">
        <v>10.76</v>
      </c>
      <c r="J208" s="1">
        <f>IF(AND(ISNUMBER(F208),ISNUMBER(H208)),ROUND(F208*(1+H208),2),"")</f>
        <v>11.62</v>
      </c>
      <c r="K208" s="2">
        <f>IF(AND(ISNUMBER(I208),I208&gt;0,ISNUMBER(J208)),J208/I208-1,"")</f>
        <v>0.07992565055762069</v>
      </c>
      <c r="L208" t="s">
        <v>38</v>
      </c>
      <c r="M208" s="1">
        <v>10.76</v>
      </c>
      <c r="N208" s="1">
        <f>IF(AND(ISNUMBER(U208),U208&gt;0,ISNUMBER(J208)),ROUND(J208/U208,2),"")</f>
        <v>11.62</v>
      </c>
      <c r="O208" s="1">
        <v>12</v>
      </c>
      <c r="P208" s="1">
        <v>12.96</v>
      </c>
      <c r="Q208" t="s">
        <v>40</v>
      </c>
      <c r="R208" t="s">
        <v>39</v>
      </c>
      <c r="S208">
        <v>526741</v>
      </c>
      <c r="T208">
        <v>526741</v>
      </c>
      <c r="U208" s="3">
        <v>1</v>
      </c>
      <c r="V208" s="1">
        <v>12</v>
      </c>
      <c r="W208" s="1">
        <v>12.96</v>
      </c>
      <c r="X208" t="s">
        <v>274</v>
      </c>
      <c r="Y208" t="s">
        <v>419</v>
      </c>
      <c r="Z208" s="1">
        <v>10.76</v>
      </c>
      <c r="AA208" s="1">
        <f>IF(AND(ISNUMBER(Z208),ISNUMBER(I208),I208&gt;0,ISNUMBER(J208)),ROUND(Z208*J208/I208,2),"")</f>
        <v>11.62</v>
      </c>
      <c r="AB208" t="s">
        <v>42</v>
      </c>
      <c r="AC208" t="s">
        <v>276</v>
      </c>
      <c r="AD208" t="s">
        <v>44</v>
      </c>
      <c r="AE208" t="s">
        <v>45</v>
      </c>
    </row>
    <row r="209">
      <c r="A209">
        <v>805716</v>
      </c>
      <c r="B209">
        <v>805716</v>
      </c>
      <c r="C209" t="s">
        <v>420</v>
      </c>
      <c r="D209" t="s">
        <v>229</v>
      </c>
      <c r="E209" t="s">
        <v>421</v>
      </c>
      <c r="F209" s="1">
        <v>14.02</v>
      </c>
      <c r="G209" s="2">
        <v>0.6574</v>
      </c>
      <c r="H209" s="2">
        <v>0.79</v>
      </c>
      <c r="I209" s="1">
        <v>23.24</v>
      </c>
      <c r="J209" s="1">
        <f>IF(AND(ISNUMBER(F209),ISNUMBER(H209)),ROUND(F209*(1+H209),2),"")</f>
        <v>25.1</v>
      </c>
      <c r="K209" s="2">
        <f>IF(AND(ISNUMBER(I209),I209&gt;0,ISNUMBER(J209)),J209/I209-1,"")</f>
        <v>0.08003442340791755</v>
      </c>
      <c r="L209" t="s">
        <v>38</v>
      </c>
      <c r="M209" s="1">
        <v>33.2</v>
      </c>
      <c r="N209" s="1">
        <f>IF(AND(ISNUMBER(U209),U209&gt;0,ISNUMBER(J209)),ROUND(J209/U209,2),"")</f>
        <v>35.86</v>
      </c>
      <c r="O209" s="1">
        <v>37</v>
      </c>
      <c r="P209" s="1">
        <v>39.96</v>
      </c>
      <c r="Q209" t="s">
        <v>40</v>
      </c>
      <c r="R209" t="s">
        <v>39</v>
      </c>
      <c r="S209">
        <v>526769</v>
      </c>
      <c r="T209">
        <v>526769</v>
      </c>
      <c r="U209" s="3">
        <v>0.7</v>
      </c>
      <c r="V209" s="1">
        <v>37</v>
      </c>
      <c r="W209" s="1">
        <v>39.96</v>
      </c>
      <c r="X209" t="s">
        <v>240</v>
      </c>
      <c r="Y209" t="s">
        <v>422</v>
      </c>
      <c r="Z209" s="1">
        <v>23.24</v>
      </c>
      <c r="AA209" s="1">
        <f>IF(AND(ISNUMBER(Z209),ISNUMBER(I209),I209&gt;0,ISNUMBER(J209)),ROUND(Z209*J209/I209,2),"")</f>
        <v>25.1</v>
      </c>
      <c r="AB209" t="s">
        <v>42</v>
      </c>
      <c r="AC209" t="s">
        <v>242</v>
      </c>
      <c r="AD209" t="s">
        <v>44</v>
      </c>
      <c r="AE209" t="s">
        <v>45</v>
      </c>
    </row>
    <row r="210">
      <c r="A210">
        <v>1131922</v>
      </c>
      <c r="B210">
        <v>1132533</v>
      </c>
      <c r="C210" t="s">
        <v>423</v>
      </c>
      <c r="D210" t="s">
        <v>229</v>
      </c>
      <c r="E210" t="s">
        <v>63</v>
      </c>
      <c r="F210" s="1">
        <v>10.55</v>
      </c>
      <c r="G210" s="2">
        <v>0.6578199052132698</v>
      </c>
      <c r="H210" s="2">
        <v>0.7904</v>
      </c>
      <c r="I210" s="1">
        <v>17.49</v>
      </c>
      <c r="J210" s="1">
        <f>IF(AND(ISNUMBER(F210),ISNUMBER(H210)),ROUND(F210*(1+H210),2),"")</f>
        <v>18.89</v>
      </c>
      <c r="K210" s="2">
        <f>IF(AND(ISNUMBER(I210),I210&gt;0,ISNUMBER(J210)),J210/I210-1,"")</f>
        <v>0.08004574042309898</v>
      </c>
      <c r="L210" t="s">
        <v>38</v>
      </c>
      <c r="N210" s="1" t="s">
        <f>IF(AND(ISNUMBER(U210),U210&gt;0,ISNUMBER(J210)),ROUND(J210/U210,2),"")</f>
        <v>39</v>
      </c>
      <c r="Q210" t="s">
        <v>40</v>
      </c>
      <c r="R210" t="s">
        <v>39</v>
      </c>
      <c r="S210">
        <v>966337</v>
      </c>
      <c r="T210">
        <v>967227</v>
      </c>
      <c r="X210" t="s">
        <v>41</v>
      </c>
      <c r="Z210" s="1">
        <v>17.49</v>
      </c>
      <c r="AA210" s="1">
        <f>IF(AND(ISNUMBER(Z210),ISNUMBER(I210),I210&gt;0,ISNUMBER(J210)),ROUND(Z210*J210/I210,2),"")</f>
        <v>18.89</v>
      </c>
      <c r="AB210" t="s">
        <v>424</v>
      </c>
      <c r="AC210" t="s">
        <v>318</v>
      </c>
      <c r="AD210" t="s">
        <v>44</v>
      </c>
      <c r="AE210" t="s">
        <v>45</v>
      </c>
    </row>
    <row r="211">
      <c r="A211">
        <v>827440</v>
      </c>
      <c r="B211">
        <v>827440</v>
      </c>
      <c r="C211" t="s">
        <v>425</v>
      </c>
      <c r="D211" t="s">
        <v>229</v>
      </c>
      <c r="E211" t="s">
        <v>212</v>
      </c>
      <c r="F211" s="1">
        <v>10.82</v>
      </c>
      <c r="G211" s="2">
        <v>0.6574</v>
      </c>
      <c r="H211" s="2">
        <v>0.79</v>
      </c>
      <c r="I211" s="1">
        <v>17.93</v>
      </c>
      <c r="J211" s="1">
        <f>IF(AND(ISNUMBER(F211),ISNUMBER(H211)),ROUND(F211*(1+H211),2),"")</f>
        <v>19.37</v>
      </c>
      <c r="K211" s="2">
        <f>IF(AND(ISNUMBER(I211),I211&gt;0,ISNUMBER(J211)),J211/I211-1,"")</f>
        <v>0.0803123257110987</v>
      </c>
      <c r="L211" t="s">
        <v>38</v>
      </c>
      <c r="M211" s="1">
        <v>23.91</v>
      </c>
      <c r="N211" s="1">
        <f>IF(AND(ISNUMBER(U211),U211&gt;0,ISNUMBER(J211)),ROUND(J211/U211,2),"")</f>
        <v>25.83</v>
      </c>
      <c r="O211" s="1">
        <v>26.67</v>
      </c>
      <c r="P211" s="1">
        <v>28.8</v>
      </c>
      <c r="Q211" t="s">
        <v>40</v>
      </c>
      <c r="R211" t="s">
        <v>39</v>
      </c>
      <c r="S211">
        <v>551690</v>
      </c>
      <c r="T211">
        <v>551690</v>
      </c>
      <c r="U211" s="3">
        <v>0.75</v>
      </c>
      <c r="V211" s="1">
        <v>20</v>
      </c>
      <c r="W211" s="1">
        <v>21.6</v>
      </c>
      <c r="X211" t="s">
        <v>244</v>
      </c>
      <c r="Y211" t="s">
        <v>426</v>
      </c>
      <c r="Z211" s="1">
        <v>17.93</v>
      </c>
      <c r="AA211" s="1">
        <f>IF(AND(ISNUMBER(Z211),ISNUMBER(I211),I211&gt;0,ISNUMBER(J211)),ROUND(Z211*J211/I211,2),"")</f>
        <v>19.37</v>
      </c>
      <c r="AB211" t="s">
        <v>42</v>
      </c>
      <c r="AC211" t="s">
        <v>246</v>
      </c>
      <c r="AD211" t="s">
        <v>48</v>
      </c>
      <c r="AE211" t="s">
        <v>45</v>
      </c>
    </row>
    <row r="212">
      <c r="A212">
        <v>901753</v>
      </c>
      <c r="B212">
        <v>901753</v>
      </c>
      <c r="C212" t="s">
        <v>427</v>
      </c>
      <c r="D212" t="s">
        <v>229</v>
      </c>
      <c r="E212" t="s">
        <v>428</v>
      </c>
      <c r="F212" s="1">
        <v>8.12</v>
      </c>
      <c r="G212" s="2">
        <v>0.6574</v>
      </c>
      <c r="H212" s="2">
        <v>0.79</v>
      </c>
      <c r="I212" s="1">
        <v>13.46</v>
      </c>
      <c r="J212" s="1">
        <f>IF(AND(ISNUMBER(F212),ISNUMBER(H212)),ROUND(F212*(1+H212),2),"")</f>
        <v>14.53</v>
      </c>
      <c r="K212" s="2">
        <f>IF(AND(ISNUMBER(I212),I212&gt;0,ISNUMBER(J212)),J212/I212-1,"")</f>
        <v>0.0794947994056463</v>
      </c>
      <c r="L212" t="s">
        <v>38</v>
      </c>
      <c r="M212" s="1">
        <v>47.86</v>
      </c>
      <c r="N212" s="1">
        <f>IF(AND(ISNUMBER(U212),U212&gt;0,ISNUMBER(J212)),ROUND(J212/U212,2),"")</f>
        <v>51.66</v>
      </c>
      <c r="O212" s="1">
        <v>53.33</v>
      </c>
      <c r="P212" s="1">
        <v>57.6</v>
      </c>
      <c r="Q212" t="s">
        <v>40</v>
      </c>
      <c r="R212" t="s">
        <v>39</v>
      </c>
      <c r="S212">
        <v>644080</v>
      </c>
      <c r="T212">
        <v>644080</v>
      </c>
      <c r="U212" s="3">
        <v>0.28125</v>
      </c>
      <c r="V212" s="1">
        <v>15</v>
      </c>
      <c r="W212" s="1">
        <v>16.2</v>
      </c>
      <c r="X212" t="s">
        <v>244</v>
      </c>
      <c r="Y212" t="s">
        <v>429</v>
      </c>
      <c r="Z212" s="1">
        <v>13.46</v>
      </c>
      <c r="AA212" s="1">
        <f>IF(AND(ISNUMBER(Z212),ISNUMBER(I212),I212&gt;0,ISNUMBER(J212)),ROUND(Z212*J212/I212,2),"")</f>
        <v>14.53</v>
      </c>
      <c r="AB212" t="s">
        <v>42</v>
      </c>
      <c r="AC212" t="s">
        <v>246</v>
      </c>
      <c r="AD212" t="s">
        <v>44</v>
      </c>
      <c r="AE212" t="s">
        <v>45</v>
      </c>
    </row>
    <row r="213">
      <c r="A213">
        <v>859028</v>
      </c>
      <c r="B213">
        <v>859028</v>
      </c>
      <c r="C213" t="s">
        <v>430</v>
      </c>
      <c r="D213" t="s">
        <v>229</v>
      </c>
      <c r="E213" t="s">
        <v>431</v>
      </c>
      <c r="F213" s="1">
        <v>9.74</v>
      </c>
      <c r="G213" s="2">
        <v>0.6574</v>
      </c>
      <c r="H213" s="2">
        <v>0.79</v>
      </c>
      <c r="I213" s="1">
        <v>16.14</v>
      </c>
      <c r="J213" s="1">
        <f>IF(AND(ISNUMBER(F213),ISNUMBER(H213)),ROUND(F213*(1+H213),2),"")</f>
        <v>17.43</v>
      </c>
      <c r="K213" s="2">
        <f>IF(AND(ISNUMBER(I213),I213&gt;0,ISNUMBER(J213)),J213/I213-1,"")</f>
        <v>0.07992565055762069</v>
      </c>
      <c r="L213" t="s">
        <v>38</v>
      </c>
      <c r="M213" s="1">
        <v>51.65</v>
      </c>
      <c r="N213" s="1">
        <f>IF(AND(ISNUMBER(U213),U213&gt;0,ISNUMBER(J213)),ROUND(J213/U213,2),"")</f>
        <v>55.78</v>
      </c>
      <c r="O213" s="1">
        <v>57.6</v>
      </c>
      <c r="P213" s="1">
        <v>62.21</v>
      </c>
      <c r="Q213" t="s">
        <v>40</v>
      </c>
      <c r="R213" t="s">
        <v>39</v>
      </c>
      <c r="S213">
        <v>588612</v>
      </c>
      <c r="T213">
        <v>588612</v>
      </c>
      <c r="U213" s="3">
        <v>0.3125</v>
      </c>
      <c r="V213" s="1">
        <v>18</v>
      </c>
      <c r="W213" s="1">
        <v>19.44</v>
      </c>
      <c r="X213" t="s">
        <v>244</v>
      </c>
      <c r="Y213" t="s">
        <v>432</v>
      </c>
      <c r="Z213" s="1">
        <v>16.14</v>
      </c>
      <c r="AA213" s="1">
        <f>IF(AND(ISNUMBER(Z213),ISNUMBER(I213),I213&gt;0,ISNUMBER(J213)),ROUND(Z213*J213/I213,2),"")</f>
        <v>17.43</v>
      </c>
      <c r="AB213" t="s">
        <v>42</v>
      </c>
      <c r="AC213" t="s">
        <v>246</v>
      </c>
      <c r="AD213" t="s">
        <v>44</v>
      </c>
      <c r="AE213" t="s">
        <v>45</v>
      </c>
    </row>
    <row r="214">
      <c r="A214">
        <v>805675</v>
      </c>
      <c r="B214">
        <v>805675</v>
      </c>
      <c r="C214" t="s">
        <v>433</v>
      </c>
      <c r="D214" t="s">
        <v>229</v>
      </c>
      <c r="E214" t="s">
        <v>428</v>
      </c>
      <c r="F214" s="1">
        <v>10.82</v>
      </c>
      <c r="G214" s="2">
        <v>0.6574</v>
      </c>
      <c r="H214" s="2">
        <v>0.79</v>
      </c>
      <c r="I214" s="1">
        <v>17.93</v>
      </c>
      <c r="J214" s="1">
        <f>IF(AND(ISNUMBER(F214),ISNUMBER(H214)),ROUND(F214*(1+H214),2),"")</f>
        <v>19.37</v>
      </c>
      <c r="K214" s="2">
        <f>IF(AND(ISNUMBER(I214),I214&gt;0,ISNUMBER(J214)),J214/I214-1,"")</f>
        <v>0.0803123257110987</v>
      </c>
      <c r="L214" t="s">
        <v>38</v>
      </c>
      <c r="M214" s="1">
        <v>63.75</v>
      </c>
      <c r="N214" s="1">
        <f>IF(AND(ISNUMBER(U214),U214&gt;0,ISNUMBER(J214)),ROUND(J214/U214,2),"")</f>
        <v>68.87</v>
      </c>
      <c r="O214" s="1">
        <v>71.11</v>
      </c>
      <c r="P214" s="1">
        <v>76.8</v>
      </c>
      <c r="Q214" t="s">
        <v>40</v>
      </c>
      <c r="R214" t="s">
        <v>39</v>
      </c>
      <c r="S214">
        <v>526728</v>
      </c>
      <c r="T214">
        <v>526728</v>
      </c>
      <c r="U214" s="3">
        <v>0.28125</v>
      </c>
      <c r="V214" s="1">
        <v>20</v>
      </c>
      <c r="W214" s="1">
        <v>21.6</v>
      </c>
      <c r="X214" t="s">
        <v>244</v>
      </c>
      <c r="Y214" t="s">
        <v>434</v>
      </c>
      <c r="Z214" s="1">
        <v>17.93</v>
      </c>
      <c r="AA214" s="1">
        <f>IF(AND(ISNUMBER(Z214),ISNUMBER(I214),I214&gt;0,ISNUMBER(J214)),ROUND(Z214*J214/I214,2),"")</f>
        <v>19.37</v>
      </c>
      <c r="AB214" t="s">
        <v>42</v>
      </c>
      <c r="AC214" t="s">
        <v>246</v>
      </c>
      <c r="AD214" t="s">
        <v>48</v>
      </c>
      <c r="AE214" t="s">
        <v>45</v>
      </c>
    </row>
    <row r="215">
      <c r="A215">
        <v>805689</v>
      </c>
      <c r="B215">
        <v>805689</v>
      </c>
      <c r="C215" t="s">
        <v>435</v>
      </c>
      <c r="D215" t="s">
        <v>229</v>
      </c>
      <c r="E215" t="s">
        <v>418</v>
      </c>
      <c r="F215" s="1">
        <v>7.58</v>
      </c>
      <c r="G215" s="2">
        <v>0.6574</v>
      </c>
      <c r="H215" s="2">
        <v>0.79</v>
      </c>
      <c r="I215" s="1">
        <v>12.56</v>
      </c>
      <c r="J215" s="1">
        <f>IF(AND(ISNUMBER(F215),ISNUMBER(H215)),ROUND(F215*(1+H215),2),"")</f>
        <v>13.57</v>
      </c>
      <c r="K215" s="2">
        <f>IF(AND(ISNUMBER(I215),I215&gt;0,ISNUMBER(J215)),J215/I215-1,"")</f>
        <v>0.08041401273885351</v>
      </c>
      <c r="L215" t="s">
        <v>38</v>
      </c>
      <c r="M215" s="1">
        <v>12.56</v>
      </c>
      <c r="N215" s="1">
        <f>IF(AND(ISNUMBER(U215),U215&gt;0,ISNUMBER(J215)),ROUND(J215/U215,2),"")</f>
        <v>13.57</v>
      </c>
      <c r="O215" s="1">
        <v>14</v>
      </c>
      <c r="P215" s="1">
        <v>15.12</v>
      </c>
      <c r="Q215" t="s">
        <v>40</v>
      </c>
      <c r="R215" t="s">
        <v>39</v>
      </c>
      <c r="S215">
        <v>526742</v>
      </c>
      <c r="T215">
        <v>526742</v>
      </c>
      <c r="U215" s="3">
        <v>1</v>
      </c>
      <c r="V215" s="1">
        <v>14</v>
      </c>
      <c r="W215" s="1">
        <v>15.12</v>
      </c>
      <c r="X215" t="s">
        <v>274</v>
      </c>
      <c r="Y215" t="s">
        <v>436</v>
      </c>
      <c r="Z215" s="1">
        <v>12.56</v>
      </c>
      <c r="AA215" s="1">
        <f>IF(AND(ISNUMBER(Z215),ISNUMBER(I215),I215&gt;0,ISNUMBER(J215)),ROUND(Z215*J215/I215,2),"")</f>
        <v>13.57</v>
      </c>
      <c r="AB215" t="s">
        <v>42</v>
      </c>
      <c r="AC215" t="s">
        <v>276</v>
      </c>
      <c r="AD215" t="s">
        <v>44</v>
      </c>
      <c r="AE215" t="s">
        <v>45</v>
      </c>
    </row>
    <row r="216">
      <c r="A216">
        <v>941005</v>
      </c>
      <c r="B216">
        <v>941005</v>
      </c>
      <c r="C216" t="s">
        <v>437</v>
      </c>
      <c r="D216" t="s">
        <v>229</v>
      </c>
      <c r="E216" t="s">
        <v>438</v>
      </c>
      <c r="F216" s="1">
        <v>6.49</v>
      </c>
      <c r="G216" s="2">
        <v>0.6579352850539291</v>
      </c>
      <c r="H216" s="2">
        <v>0.7906</v>
      </c>
      <c r="I216" s="1">
        <v>10.76</v>
      </c>
      <c r="J216" s="1">
        <f>IF(AND(ISNUMBER(F216),ISNUMBER(H216)),ROUND(F216*(1+H216),2),"")</f>
        <v>11.62</v>
      </c>
      <c r="K216" s="2">
        <f>IF(AND(ISNUMBER(I216),I216&gt;0,ISNUMBER(J216)),J216/I216-1,"")</f>
        <v>0.07992565055762069</v>
      </c>
      <c r="L216" t="s">
        <v>38</v>
      </c>
      <c r="N216" s="1" t="s">
        <f>IF(AND(ISNUMBER(U216),U216&gt;0,ISNUMBER(J216)),ROUND(J216/U216,2),"")</f>
        <v>39</v>
      </c>
      <c r="Q216" t="s">
        <v>40</v>
      </c>
      <c r="R216" t="s">
        <v>39</v>
      </c>
      <c r="S216">
        <v>695001</v>
      </c>
      <c r="T216">
        <v>695001</v>
      </c>
      <c r="V216" s="1">
        <v>12</v>
      </c>
      <c r="W216" s="1">
        <v>12.96</v>
      </c>
      <c r="X216" t="s">
        <v>250</v>
      </c>
      <c r="Y216" t="s">
        <v>439</v>
      </c>
      <c r="Z216" s="1">
        <v>10.76</v>
      </c>
      <c r="AA216" s="1">
        <f>IF(AND(ISNUMBER(Z216),ISNUMBER(I216),I216&gt;0,ISNUMBER(J216)),ROUND(Z216*J216/I216,2),"")</f>
        <v>11.62</v>
      </c>
      <c r="AB216" t="s">
        <v>440</v>
      </c>
      <c r="AC216" t="s">
        <v>253</v>
      </c>
      <c r="AD216" t="s">
        <v>44</v>
      </c>
      <c r="AE216" t="s">
        <v>45</v>
      </c>
    </row>
    <row r="217">
      <c r="A217">
        <v>805459</v>
      </c>
      <c r="B217">
        <v>805459</v>
      </c>
      <c r="C217" t="s">
        <v>441</v>
      </c>
      <c r="D217" t="s">
        <v>229</v>
      </c>
      <c r="E217" t="s">
        <v>442</v>
      </c>
      <c r="F217" s="1">
        <v>3.79</v>
      </c>
      <c r="G217" s="2">
        <v>0.6569920844327177</v>
      </c>
      <c r="H217" s="2">
        <v>0.7896</v>
      </c>
      <c r="I217" s="1">
        <v>6.28</v>
      </c>
      <c r="J217" s="1">
        <f>IF(AND(ISNUMBER(F217),ISNUMBER(H217)),ROUND(F217*(1+H217),2),"")</f>
        <v>6.78</v>
      </c>
      <c r="K217" s="2">
        <f>IF(AND(ISNUMBER(I217),I217&gt;0,ISNUMBER(J217)),J217/I217-1,"")</f>
        <v>0.07961783439490455</v>
      </c>
      <c r="L217" t="s">
        <v>38</v>
      </c>
      <c r="N217" s="1" t="s">
        <f>IF(AND(ISNUMBER(U217),U217&gt;0,ISNUMBER(J217)),ROUND(J217/U217,2),"")</f>
        <v>39</v>
      </c>
      <c r="Q217" t="s">
        <v>40</v>
      </c>
      <c r="R217" t="s">
        <v>39</v>
      </c>
      <c r="S217">
        <v>600222</v>
      </c>
      <c r="T217">
        <v>600222</v>
      </c>
      <c r="V217" s="1">
        <v>7</v>
      </c>
      <c r="W217" s="1">
        <v>7.56</v>
      </c>
      <c r="X217" t="s">
        <v>250</v>
      </c>
      <c r="Y217" t="s">
        <v>443</v>
      </c>
      <c r="Z217" s="1">
        <v>6.28</v>
      </c>
      <c r="AA217" s="1">
        <f>IF(AND(ISNUMBER(Z217),ISNUMBER(I217),I217&gt;0,ISNUMBER(J217)),ROUND(Z217*J217/I217,2),"")</f>
        <v>6.78</v>
      </c>
      <c r="AB217" t="s">
        <v>444</v>
      </c>
      <c r="AC217" t="s">
        <v>253</v>
      </c>
      <c r="AD217" t="s">
        <v>44</v>
      </c>
      <c r="AE217" t="s">
        <v>45</v>
      </c>
    </row>
    <row r="218">
      <c r="A218">
        <v>921373</v>
      </c>
      <c r="B218">
        <v>921373</v>
      </c>
      <c r="C218" t="s">
        <v>445</v>
      </c>
      <c r="D218" t="s">
        <v>229</v>
      </c>
      <c r="E218" t="s">
        <v>192</v>
      </c>
      <c r="F218" s="1">
        <v>7.8</v>
      </c>
      <c r="G218" s="2">
        <v>0.6574</v>
      </c>
      <c r="H218" s="2">
        <v>0.79</v>
      </c>
      <c r="I218" s="1">
        <v>12.93</v>
      </c>
      <c r="J218" s="1">
        <f>IF(AND(ISNUMBER(F218),ISNUMBER(H218)),ROUND(F218*(1+H218),2),"")</f>
        <v>13.96</v>
      </c>
      <c r="K218" s="2">
        <f>IF(AND(ISNUMBER(I218),I218&gt;0,ISNUMBER(J218)),J218/I218-1,"")</f>
        <v>0.07965970610982231</v>
      </c>
      <c r="L218" t="s">
        <v>38</v>
      </c>
      <c r="M218" s="1">
        <v>25.86</v>
      </c>
      <c r="N218" s="1">
        <f>IF(AND(ISNUMBER(U218),U218&gt;0,ISNUMBER(J218)),ROUND(J218/U218,2),"")</f>
        <v>27.92</v>
      </c>
      <c r="Q218" t="s">
        <v>40</v>
      </c>
      <c r="R218" t="s">
        <v>39</v>
      </c>
      <c r="S218">
        <v>667826</v>
      </c>
      <c r="T218">
        <v>667826</v>
      </c>
      <c r="U218" s="3">
        <v>0.5</v>
      </c>
      <c r="X218" t="s">
        <v>41</v>
      </c>
      <c r="Z218" s="1">
        <v>12.93</v>
      </c>
      <c r="AA218" s="1">
        <f>IF(AND(ISNUMBER(Z218),ISNUMBER(I218),I218&gt;0,ISNUMBER(J218)),ROUND(Z218*J218/I218,2),"")</f>
        <v>13.96</v>
      </c>
      <c r="AB218" t="s">
        <v>42</v>
      </c>
      <c r="AC218" t="s">
        <v>43</v>
      </c>
      <c r="AD218" t="s">
        <v>48</v>
      </c>
      <c r="AE218" t="s">
        <v>45</v>
      </c>
    </row>
    <row r="219">
      <c r="A219">
        <v>805719</v>
      </c>
      <c r="B219">
        <v>805719</v>
      </c>
      <c r="C219" t="s">
        <v>446</v>
      </c>
      <c r="D219" t="s">
        <v>229</v>
      </c>
      <c r="E219" t="s">
        <v>192</v>
      </c>
      <c r="F219" s="1">
        <v>10.82</v>
      </c>
      <c r="G219" s="2">
        <v>0.6574</v>
      </c>
      <c r="H219" s="2">
        <v>0.79</v>
      </c>
      <c r="I219" s="1">
        <v>17.93</v>
      </c>
      <c r="J219" s="1">
        <f>IF(AND(ISNUMBER(F219),ISNUMBER(H219)),ROUND(F219*(1+H219),2),"")</f>
        <v>19.37</v>
      </c>
      <c r="K219" s="2">
        <f>IF(AND(ISNUMBER(I219),I219&gt;0,ISNUMBER(J219)),J219/I219-1,"")</f>
        <v>0.0803123257110987</v>
      </c>
      <c r="L219" t="s">
        <v>38</v>
      </c>
      <c r="M219" s="1">
        <v>35.86</v>
      </c>
      <c r="N219" s="1">
        <f>IF(AND(ISNUMBER(U219),U219&gt;0,ISNUMBER(J219)),ROUND(J219/U219,2),"")</f>
        <v>38.74</v>
      </c>
      <c r="O219" s="1">
        <v>40</v>
      </c>
      <c r="P219" s="1">
        <v>43.2</v>
      </c>
      <c r="Q219" t="s">
        <v>40</v>
      </c>
      <c r="R219" t="s">
        <v>39</v>
      </c>
      <c r="S219">
        <v>526772</v>
      </c>
      <c r="T219">
        <v>526772</v>
      </c>
      <c r="U219" s="3">
        <v>0.5</v>
      </c>
      <c r="V219" s="1">
        <v>20</v>
      </c>
      <c r="W219" s="1">
        <v>21.6</v>
      </c>
      <c r="X219" t="s">
        <v>244</v>
      </c>
      <c r="Y219" t="s">
        <v>447</v>
      </c>
      <c r="Z219" s="1">
        <v>17.93</v>
      </c>
      <c r="AA219" s="1">
        <f>IF(AND(ISNUMBER(Z219),ISNUMBER(I219),I219&gt;0,ISNUMBER(J219)),ROUND(Z219*J219/I219,2),"")</f>
        <v>19.37</v>
      </c>
      <c r="AB219" t="s">
        <v>42</v>
      </c>
      <c r="AC219" t="s">
        <v>246</v>
      </c>
      <c r="AD219" t="s">
        <v>44</v>
      </c>
      <c r="AE219" t="s">
        <v>45</v>
      </c>
    </row>
    <row r="220">
      <c r="A220">
        <v>805720</v>
      </c>
      <c r="B220">
        <v>805720</v>
      </c>
      <c r="C220" t="s">
        <v>448</v>
      </c>
      <c r="D220" t="s">
        <v>229</v>
      </c>
      <c r="E220" t="s">
        <v>415</v>
      </c>
      <c r="F220" s="1">
        <v>9.74</v>
      </c>
      <c r="G220" s="2">
        <v>0.6574</v>
      </c>
      <c r="H220" s="2">
        <v>0.79</v>
      </c>
      <c r="I220" s="1">
        <v>16.14</v>
      </c>
      <c r="J220" s="1">
        <f>IF(AND(ISNUMBER(F220),ISNUMBER(H220)),ROUND(F220*(1+H220),2),"")</f>
        <v>17.43</v>
      </c>
      <c r="K220" s="2">
        <f>IF(AND(ISNUMBER(I220),I220&gt;0,ISNUMBER(J220)),J220/I220-1,"")</f>
        <v>0.07992565055762069</v>
      </c>
      <c r="L220" t="s">
        <v>38</v>
      </c>
      <c r="M220" s="1">
        <v>86.08</v>
      </c>
      <c r="N220" s="1">
        <f>IF(AND(ISNUMBER(U220),U220&gt;0,ISNUMBER(J220)),ROUND(J220/U220,2),"")</f>
        <v>92.96</v>
      </c>
      <c r="O220" s="1">
        <v>96</v>
      </c>
      <c r="P220" s="1">
        <v>103.68</v>
      </c>
      <c r="Q220" t="s">
        <v>40</v>
      </c>
      <c r="R220" t="s">
        <v>39</v>
      </c>
      <c r="S220">
        <v>526773</v>
      </c>
      <c r="T220">
        <v>526773</v>
      </c>
      <c r="U220" s="3">
        <v>0.1875</v>
      </c>
      <c r="V220" s="1">
        <v>18</v>
      </c>
      <c r="W220" s="1">
        <v>19.44</v>
      </c>
      <c r="X220" t="s">
        <v>244</v>
      </c>
      <c r="Y220" t="s">
        <v>449</v>
      </c>
      <c r="Z220" s="1">
        <v>16.14</v>
      </c>
      <c r="AA220" s="1">
        <f>IF(AND(ISNUMBER(Z220),ISNUMBER(I220),I220&gt;0,ISNUMBER(J220)),ROUND(Z220*J220/I220,2),"")</f>
        <v>17.43</v>
      </c>
      <c r="AB220" t="s">
        <v>42</v>
      </c>
      <c r="AC220" t="s">
        <v>246</v>
      </c>
      <c r="AD220" t="s">
        <v>44</v>
      </c>
      <c r="AE220" t="s">
        <v>45</v>
      </c>
    </row>
    <row r="221">
      <c r="A221">
        <v>805721</v>
      </c>
      <c r="B221">
        <v>805721</v>
      </c>
      <c r="C221" t="s">
        <v>450</v>
      </c>
      <c r="D221" t="s">
        <v>229</v>
      </c>
      <c r="E221" t="s">
        <v>451</v>
      </c>
      <c r="F221" s="1">
        <v>10.82</v>
      </c>
      <c r="G221" s="2">
        <v>0.6574</v>
      </c>
      <c r="H221" s="2">
        <v>0.79</v>
      </c>
      <c r="I221" s="1">
        <v>17.93</v>
      </c>
      <c r="J221" s="1">
        <f>IF(AND(ISNUMBER(F221),ISNUMBER(H221)),ROUND(F221*(1+H221),2),"")</f>
        <v>19.37</v>
      </c>
      <c r="K221" s="2">
        <f>IF(AND(ISNUMBER(I221),I221&gt;0,ISNUMBER(J221)),J221/I221-1,"")</f>
        <v>0.0803123257110987</v>
      </c>
      <c r="L221" t="s">
        <v>38</v>
      </c>
      <c r="M221" s="1">
        <v>47.81</v>
      </c>
      <c r="N221" s="1">
        <f>IF(AND(ISNUMBER(U221),U221&gt;0,ISNUMBER(J221)),ROUND(J221/U221,2),"")</f>
        <v>51.65</v>
      </c>
      <c r="O221" s="1">
        <v>5.33</v>
      </c>
      <c r="P221" s="1">
        <v>5.76</v>
      </c>
      <c r="Q221" t="s">
        <v>40</v>
      </c>
      <c r="R221" t="s">
        <v>39</v>
      </c>
      <c r="S221">
        <v>526775</v>
      </c>
      <c r="T221">
        <v>526775</v>
      </c>
      <c r="U221" s="3">
        <v>0.375</v>
      </c>
      <c r="V221" s="1">
        <v>2</v>
      </c>
      <c r="W221" s="1">
        <v>2.16</v>
      </c>
      <c r="X221" t="s">
        <v>244</v>
      </c>
      <c r="Y221" t="s">
        <v>452</v>
      </c>
      <c r="Z221" s="1">
        <v>17.93</v>
      </c>
      <c r="AA221" s="1">
        <f>IF(AND(ISNUMBER(Z221),ISNUMBER(I221),I221&gt;0,ISNUMBER(J221)),ROUND(Z221*J221/I221,2),"")</f>
        <v>19.37</v>
      </c>
      <c r="AB221" t="s">
        <v>42</v>
      </c>
      <c r="AC221" t="s">
        <v>246</v>
      </c>
      <c r="AD221" t="s">
        <v>48</v>
      </c>
      <c r="AE221" t="s">
        <v>45</v>
      </c>
    </row>
    <row r="222">
      <c r="A222">
        <v>813080</v>
      </c>
      <c r="B222">
        <v>813080</v>
      </c>
      <c r="C222" t="s">
        <v>453</v>
      </c>
      <c r="D222" t="s">
        <v>229</v>
      </c>
      <c r="E222" t="s">
        <v>358</v>
      </c>
      <c r="F222" s="1">
        <v>6.49</v>
      </c>
      <c r="G222" s="2">
        <v>0.6574</v>
      </c>
      <c r="H222" s="2">
        <v>0.79</v>
      </c>
      <c r="I222" s="1">
        <v>10.76</v>
      </c>
      <c r="J222" s="1">
        <f>IF(AND(ISNUMBER(F222),ISNUMBER(H222)),ROUND(F222*(1+H222),2),"")</f>
        <v>11.62</v>
      </c>
      <c r="K222" s="2">
        <f>IF(AND(ISNUMBER(I222),I222&gt;0,ISNUMBER(J222)),J222/I222-1,"")</f>
        <v>0.07992565055762069</v>
      </c>
      <c r="L222" t="s">
        <v>38</v>
      </c>
      <c r="M222" s="1">
        <v>10.76</v>
      </c>
      <c r="N222" s="1">
        <f>IF(AND(ISNUMBER(U222),U222&gt;0,ISNUMBER(J222)),ROUND(J222/U222,2),"")</f>
        <v>11.62</v>
      </c>
      <c r="O222" s="1">
        <v>12</v>
      </c>
      <c r="P222" s="1">
        <v>12.96</v>
      </c>
      <c r="Q222" t="s">
        <v>40</v>
      </c>
      <c r="R222" t="s">
        <v>39</v>
      </c>
      <c r="S222">
        <v>535111</v>
      </c>
      <c r="T222">
        <v>535111</v>
      </c>
      <c r="U222" s="3">
        <v>1</v>
      </c>
      <c r="V222" s="1">
        <v>12</v>
      </c>
      <c r="W222" s="1">
        <v>12.96</v>
      </c>
      <c r="X222" t="s">
        <v>274</v>
      </c>
      <c r="Y222" t="s">
        <v>454</v>
      </c>
      <c r="Z222" s="1">
        <v>10.76</v>
      </c>
      <c r="AA222" s="1">
        <f>IF(AND(ISNUMBER(Z222),ISNUMBER(I222),I222&gt;0,ISNUMBER(J222)),ROUND(Z222*J222/I222,2),"")</f>
        <v>11.62</v>
      </c>
      <c r="AB222" t="s">
        <v>42</v>
      </c>
      <c r="AC222" t="s">
        <v>276</v>
      </c>
      <c r="AD222" t="s">
        <v>44</v>
      </c>
      <c r="AE222" t="s">
        <v>45</v>
      </c>
    </row>
    <row r="223">
      <c r="A223">
        <v>805682</v>
      </c>
      <c r="B223">
        <v>805682</v>
      </c>
      <c r="C223" t="s">
        <v>455</v>
      </c>
      <c r="D223" t="s">
        <v>229</v>
      </c>
      <c r="E223" t="s">
        <v>212</v>
      </c>
      <c r="F223" s="1">
        <v>10.55</v>
      </c>
      <c r="G223" s="2">
        <v>0.6574</v>
      </c>
      <c r="H223" s="2">
        <v>0.79</v>
      </c>
      <c r="I223" s="1">
        <v>17.49</v>
      </c>
      <c r="J223" s="1">
        <f>IF(AND(ISNUMBER(F223),ISNUMBER(H223)),ROUND(F223*(1+H223),2),"")</f>
        <v>18.88</v>
      </c>
      <c r="K223" s="2">
        <f>IF(AND(ISNUMBER(I223),I223&gt;0,ISNUMBER(J223)),J223/I223-1,"")</f>
        <v>0.07947398513436243</v>
      </c>
      <c r="L223" t="s">
        <v>38</v>
      </c>
      <c r="M223" s="1">
        <v>23.32</v>
      </c>
      <c r="N223" s="1">
        <f>IF(AND(ISNUMBER(U223),U223&gt;0,ISNUMBER(J223)),ROUND(J223/U223,2),"")</f>
        <v>25.17</v>
      </c>
      <c r="O223" s="1">
        <v>26</v>
      </c>
      <c r="P223" s="1">
        <v>28.08</v>
      </c>
      <c r="Q223" t="s">
        <v>40</v>
      </c>
      <c r="R223" t="s">
        <v>39</v>
      </c>
      <c r="S223">
        <v>526735</v>
      </c>
      <c r="T223">
        <v>526735</v>
      </c>
      <c r="U223" s="3">
        <v>0.75</v>
      </c>
      <c r="V223" s="1">
        <v>19.5</v>
      </c>
      <c r="W223" s="1">
        <v>21.06</v>
      </c>
      <c r="X223" t="s">
        <v>244</v>
      </c>
      <c r="Y223" t="s">
        <v>456</v>
      </c>
      <c r="Z223" s="1">
        <v>17.49</v>
      </c>
      <c r="AA223" s="1">
        <f>IF(AND(ISNUMBER(Z223),ISNUMBER(I223),I223&gt;0,ISNUMBER(J223)),ROUND(Z223*J223/I223,2),"")</f>
        <v>18.88</v>
      </c>
      <c r="AB223" t="s">
        <v>42</v>
      </c>
      <c r="AC223" t="s">
        <v>246</v>
      </c>
      <c r="AD223" t="s">
        <v>48</v>
      </c>
      <c r="AE223" t="s">
        <v>45</v>
      </c>
    </row>
    <row r="224">
      <c r="A224">
        <v>813078</v>
      </c>
      <c r="B224">
        <v>813078</v>
      </c>
      <c r="C224" t="s">
        <v>457</v>
      </c>
      <c r="D224" t="s">
        <v>229</v>
      </c>
      <c r="E224" t="s">
        <v>261</v>
      </c>
      <c r="F224" s="1">
        <v>5.41</v>
      </c>
      <c r="G224" s="2">
        <v>0.6574</v>
      </c>
      <c r="H224" s="2">
        <v>0.79</v>
      </c>
      <c r="I224" s="1">
        <v>8.97</v>
      </c>
      <c r="J224" s="1">
        <f>IF(AND(ISNUMBER(F224),ISNUMBER(H224)),ROUND(F224*(1+H224),2),"")</f>
        <v>9.68</v>
      </c>
      <c r="K224" s="2">
        <f>IF(AND(ISNUMBER(I224),I224&gt;0,ISNUMBER(J224)),J224/I224-1,"")</f>
        <v>0.07915273132664424</v>
      </c>
      <c r="L224" t="s">
        <v>38</v>
      </c>
      <c r="M224" s="1">
        <v>2.24</v>
      </c>
      <c r="N224" s="1">
        <f>IF(AND(ISNUMBER(U224),U224&gt;0,ISNUMBER(J224)),ROUND(J224/U224,2),"")</f>
        <v>2.42</v>
      </c>
      <c r="O224" s="1">
        <v>2.5</v>
      </c>
      <c r="P224" s="1">
        <v>2.7</v>
      </c>
      <c r="Q224" t="s">
        <v>40</v>
      </c>
      <c r="R224" t="s">
        <v>39</v>
      </c>
      <c r="S224">
        <v>535108</v>
      </c>
      <c r="T224">
        <v>535108</v>
      </c>
      <c r="U224" s="3">
        <v>4</v>
      </c>
      <c r="V224" s="1">
        <v>2.5</v>
      </c>
      <c r="W224" s="1">
        <v>2.7</v>
      </c>
      <c r="X224" t="s">
        <v>274</v>
      </c>
      <c r="Y224" t="s">
        <v>458</v>
      </c>
      <c r="Z224" s="1">
        <v>8.97</v>
      </c>
      <c r="AA224" s="1">
        <f>IF(AND(ISNUMBER(Z224),ISNUMBER(I224),I224&gt;0,ISNUMBER(J224)),ROUND(Z224*J224/I224,2),"")</f>
        <v>9.68</v>
      </c>
      <c r="AB224" t="s">
        <v>42</v>
      </c>
      <c r="AC224" t="s">
        <v>276</v>
      </c>
      <c r="AD224" t="s">
        <v>44</v>
      </c>
      <c r="AE224" t="s">
        <v>45</v>
      </c>
    </row>
    <row r="225">
      <c r="A225">
        <v>805652</v>
      </c>
      <c r="B225">
        <v>805652</v>
      </c>
      <c r="C225" t="s">
        <v>459</v>
      </c>
      <c r="D225" t="s">
        <v>229</v>
      </c>
      <c r="E225" t="s">
        <v>460</v>
      </c>
      <c r="F225" s="1">
        <v>11.69</v>
      </c>
      <c r="G225" s="2">
        <v>0.6574</v>
      </c>
      <c r="H225" s="2">
        <v>0.79</v>
      </c>
      <c r="I225" s="1">
        <v>19.38</v>
      </c>
      <c r="J225" s="1">
        <f>IF(AND(ISNUMBER(F225),ISNUMBER(H225)),ROUND(F225*(1+H225),2),"")</f>
        <v>20.93</v>
      </c>
      <c r="K225" s="2">
        <f>IF(AND(ISNUMBER(I225),I225&gt;0,ISNUMBER(J225)),J225/I225-1,"")</f>
        <v>0.07997936016511864</v>
      </c>
      <c r="L225" t="s">
        <v>38</v>
      </c>
      <c r="M225" s="1">
        <v>14.36</v>
      </c>
      <c r="N225" s="1">
        <f>IF(AND(ISNUMBER(U225),U225&gt;0,ISNUMBER(J225)),ROUND(J225/U225,2),"")</f>
        <v>15.5</v>
      </c>
      <c r="Q225" t="s">
        <v>40</v>
      </c>
      <c r="R225" t="s">
        <v>39</v>
      </c>
      <c r="S225">
        <v>526705</v>
      </c>
      <c r="T225">
        <v>526705</v>
      </c>
      <c r="U225" s="3">
        <v>1.35</v>
      </c>
      <c r="X225" t="s">
        <v>41</v>
      </c>
      <c r="Z225" s="1">
        <v>19.38</v>
      </c>
      <c r="AA225" s="1">
        <f>IF(AND(ISNUMBER(Z225),ISNUMBER(I225),I225&gt;0,ISNUMBER(J225)),ROUND(Z225*J225/I225,2),"")</f>
        <v>20.93</v>
      </c>
      <c r="AB225" t="s">
        <v>42</v>
      </c>
      <c r="AC225" t="s">
        <v>43</v>
      </c>
      <c r="AD225" t="s">
        <v>48</v>
      </c>
      <c r="AE225" t="s">
        <v>45</v>
      </c>
    </row>
    <row r="226">
      <c r="A226">
        <v>832792</v>
      </c>
      <c r="B226">
        <v>832792</v>
      </c>
      <c r="C226" t="s">
        <v>461</v>
      </c>
      <c r="D226" t="s">
        <v>229</v>
      </c>
      <c r="E226" t="s">
        <v>460</v>
      </c>
      <c r="F226" s="1">
        <v>13.15</v>
      </c>
      <c r="G226" s="2">
        <v>0.6574</v>
      </c>
      <c r="H226" s="2">
        <v>0.79</v>
      </c>
      <c r="I226" s="1">
        <v>21.79</v>
      </c>
      <c r="J226" s="1">
        <f>IF(AND(ISNUMBER(F226),ISNUMBER(H226)),ROUND(F226*(1+H226),2),"")</f>
        <v>23.54</v>
      </c>
      <c r="K226" s="2">
        <f>IF(AND(ISNUMBER(I226),I226&gt;0,ISNUMBER(J226)),J226/I226-1,"")</f>
        <v>0.08031206975676919</v>
      </c>
      <c r="L226" t="s">
        <v>38</v>
      </c>
      <c r="M226" s="1">
        <v>16.14</v>
      </c>
      <c r="N226" s="1">
        <f>IF(AND(ISNUMBER(U226),U226&gt;0,ISNUMBER(J226)),ROUND(J226/U226,2),"")</f>
        <v>17.44</v>
      </c>
      <c r="Q226" t="s">
        <v>40</v>
      </c>
      <c r="R226" t="s">
        <v>39</v>
      </c>
      <c r="S226">
        <v>558509</v>
      </c>
      <c r="T226">
        <v>558509</v>
      </c>
      <c r="U226" s="3">
        <v>1.35</v>
      </c>
      <c r="X226" t="s">
        <v>41</v>
      </c>
      <c r="Z226" s="1">
        <v>21.79</v>
      </c>
      <c r="AA226" s="1">
        <f>IF(AND(ISNUMBER(Z226),ISNUMBER(I226),I226&gt;0,ISNUMBER(J226)),ROUND(Z226*J226/I226,2),"")</f>
        <v>23.54</v>
      </c>
      <c r="AB226" t="s">
        <v>42</v>
      </c>
      <c r="AC226" t="s">
        <v>43</v>
      </c>
      <c r="AD226" t="s">
        <v>44</v>
      </c>
      <c r="AE226" t="s">
        <v>45</v>
      </c>
    </row>
    <row r="227">
      <c r="A227">
        <v>861798</v>
      </c>
      <c r="B227">
        <v>861798</v>
      </c>
      <c r="C227" t="s">
        <v>462</v>
      </c>
      <c r="D227" t="s">
        <v>229</v>
      </c>
      <c r="E227" t="s">
        <v>463</v>
      </c>
      <c r="F227" s="1">
        <v>25.3</v>
      </c>
      <c r="G227" s="2">
        <v>0.6574</v>
      </c>
      <c r="H227" s="2">
        <v>0.79</v>
      </c>
      <c r="I227" s="1">
        <v>41.93</v>
      </c>
      <c r="J227" s="1">
        <f>IF(AND(ISNUMBER(F227),ISNUMBER(H227)),ROUND(F227*(1+H227),2),"")</f>
        <v>45.29</v>
      </c>
      <c r="K227" s="2">
        <f>IF(AND(ISNUMBER(I227),I227&gt;0,ISNUMBER(J227)),J227/I227-1,"")</f>
        <v>0.08013355592654414</v>
      </c>
      <c r="L227" t="s">
        <v>38</v>
      </c>
      <c r="M227" s="1">
        <v>15.25</v>
      </c>
      <c r="N227" s="1">
        <f>IF(AND(ISNUMBER(U227),U227&gt;0,ISNUMBER(J227)),ROUND(J227/U227,2),"")</f>
        <v>16.47</v>
      </c>
      <c r="O227" s="1">
        <v>17</v>
      </c>
      <c r="P227" s="1">
        <v>18.36</v>
      </c>
      <c r="Q227" t="s">
        <v>40</v>
      </c>
      <c r="R227" t="s">
        <v>39</v>
      </c>
      <c r="S227">
        <v>591682</v>
      </c>
      <c r="T227">
        <v>591682</v>
      </c>
      <c r="U227" s="3">
        <v>2.75</v>
      </c>
      <c r="V227" s="1">
        <v>17</v>
      </c>
      <c r="W227" s="1">
        <v>18.36</v>
      </c>
      <c r="X227" t="s">
        <v>240</v>
      </c>
      <c r="Y227" t="s">
        <v>464</v>
      </c>
      <c r="Z227" s="1">
        <v>41.93</v>
      </c>
      <c r="AA227" s="1">
        <f>IF(AND(ISNUMBER(Z227),ISNUMBER(I227),I227&gt;0,ISNUMBER(J227)),ROUND(Z227*J227/I227,2),"")</f>
        <v>45.29</v>
      </c>
      <c r="AB227" t="s">
        <v>42</v>
      </c>
      <c r="AC227" t="s">
        <v>242</v>
      </c>
      <c r="AD227" t="s">
        <v>44</v>
      </c>
      <c r="AE227" t="s">
        <v>45</v>
      </c>
    </row>
    <row r="228">
      <c r="A228">
        <v>940995</v>
      </c>
      <c r="B228">
        <v>940995</v>
      </c>
      <c r="C228" t="s">
        <v>465</v>
      </c>
      <c r="D228" t="s">
        <v>229</v>
      </c>
      <c r="E228" t="s">
        <v>466</v>
      </c>
      <c r="F228" s="1">
        <v>30.69</v>
      </c>
      <c r="G228" s="2">
        <v>0.6574</v>
      </c>
      <c r="H228" s="2">
        <v>0.79</v>
      </c>
      <c r="I228" s="1">
        <v>50.87</v>
      </c>
      <c r="J228" s="1">
        <f>IF(AND(ISNUMBER(F228),ISNUMBER(H228)),ROUND(F228*(1+H228),2),"")</f>
        <v>54.94</v>
      </c>
      <c r="K228" s="2">
        <f>IF(AND(ISNUMBER(I228),I228&gt;0,ISNUMBER(J228)),J228/I228-1,"")</f>
        <v>0.08000786318065667</v>
      </c>
      <c r="L228" t="s">
        <v>38</v>
      </c>
      <c r="M228" s="1">
        <v>16.15</v>
      </c>
      <c r="N228" s="1">
        <f>IF(AND(ISNUMBER(U228),U228&gt;0,ISNUMBER(J228)),ROUND(J228/U228,2),"")</f>
        <v>17.44</v>
      </c>
      <c r="O228" s="1">
        <v>18</v>
      </c>
      <c r="P228" s="1">
        <v>19.44</v>
      </c>
      <c r="Q228" t="s">
        <v>40</v>
      </c>
      <c r="R228" t="s">
        <v>39</v>
      </c>
      <c r="S228">
        <v>694991</v>
      </c>
      <c r="T228">
        <v>694991</v>
      </c>
      <c r="U228" s="3">
        <v>3.15</v>
      </c>
      <c r="V228" s="1">
        <v>18</v>
      </c>
      <c r="W228" s="1">
        <v>19.44</v>
      </c>
      <c r="X228" t="s">
        <v>240</v>
      </c>
      <c r="Y228" t="s">
        <v>467</v>
      </c>
      <c r="Z228" s="1">
        <v>50.87</v>
      </c>
      <c r="AA228" s="1">
        <f>IF(AND(ISNUMBER(Z228),ISNUMBER(I228),I228&gt;0,ISNUMBER(J228)),ROUND(Z228*J228/I228,2),"")</f>
        <v>54.94</v>
      </c>
      <c r="AB228" t="s">
        <v>42</v>
      </c>
      <c r="AC228" t="s">
        <v>242</v>
      </c>
      <c r="AD228" t="s">
        <v>44</v>
      </c>
      <c r="AE228" t="s">
        <v>45</v>
      </c>
    </row>
    <row r="229">
      <c r="A229">
        <v>805654</v>
      </c>
      <c r="B229">
        <v>805654</v>
      </c>
      <c r="C229" t="s">
        <v>468</v>
      </c>
      <c r="D229" t="s">
        <v>229</v>
      </c>
      <c r="E229" t="s">
        <v>469</v>
      </c>
      <c r="F229" s="1">
        <v>23.33</v>
      </c>
      <c r="G229" s="2">
        <v>0.6574</v>
      </c>
      <c r="H229" s="2">
        <v>0.79</v>
      </c>
      <c r="I229" s="1">
        <v>38.67</v>
      </c>
      <c r="J229" s="1">
        <f>IF(AND(ISNUMBER(F229),ISNUMBER(H229)),ROUND(F229*(1+H229),2),"")</f>
        <v>41.76</v>
      </c>
      <c r="K229" s="2">
        <f>IF(AND(ISNUMBER(I229),I229&gt;0,ISNUMBER(J229)),J229/I229-1,"")</f>
        <v>0.07990690457719163</v>
      </c>
      <c r="L229" t="s">
        <v>38</v>
      </c>
      <c r="M229" s="1">
        <v>16.15</v>
      </c>
      <c r="N229" s="1">
        <f>IF(AND(ISNUMBER(U229),U229&gt;0,ISNUMBER(J229)),ROUND(J229/U229,2),"")</f>
        <v>17.44</v>
      </c>
      <c r="Q229" t="s">
        <v>40</v>
      </c>
      <c r="R229" t="s">
        <v>39</v>
      </c>
      <c r="S229">
        <v>526707</v>
      </c>
      <c r="T229">
        <v>526707</v>
      </c>
      <c r="U229" s="3">
        <v>2.395</v>
      </c>
      <c r="X229" t="s">
        <v>41</v>
      </c>
      <c r="Z229" s="1">
        <v>38.67</v>
      </c>
      <c r="AA229" s="1">
        <f>IF(AND(ISNUMBER(Z229),ISNUMBER(I229),I229&gt;0,ISNUMBER(J229)),ROUND(Z229*J229/I229,2),"")</f>
        <v>41.76</v>
      </c>
      <c r="AB229" t="s">
        <v>42</v>
      </c>
      <c r="AC229" t="s">
        <v>43</v>
      </c>
      <c r="AD229" t="s">
        <v>44</v>
      </c>
      <c r="AE229" t="s">
        <v>45</v>
      </c>
    </row>
    <row r="230">
      <c r="A230">
        <v>816241</v>
      </c>
      <c r="B230">
        <v>816241</v>
      </c>
      <c r="C230" t="s">
        <v>470</v>
      </c>
      <c r="D230" t="s">
        <v>229</v>
      </c>
      <c r="E230" t="s">
        <v>258</v>
      </c>
      <c r="F230" s="1">
        <v>19.62</v>
      </c>
      <c r="G230" s="2">
        <v>0.6574</v>
      </c>
      <c r="H230" s="2">
        <v>0.79</v>
      </c>
      <c r="I230" s="1">
        <v>32.52</v>
      </c>
      <c r="J230" s="1">
        <f>IF(AND(ISNUMBER(F230),ISNUMBER(H230)),ROUND(F230*(1+H230),2),"")</f>
        <v>35.12</v>
      </c>
      <c r="K230" s="2">
        <f>IF(AND(ISNUMBER(I230),I230&gt;0,ISNUMBER(J230)),J230/I230-1,"")</f>
        <v>0.07995079950799489</v>
      </c>
      <c r="L230" t="s">
        <v>38</v>
      </c>
      <c r="M230" s="1">
        <v>13.01</v>
      </c>
      <c r="N230" s="1">
        <f>IF(AND(ISNUMBER(U230),U230&gt;0,ISNUMBER(J230)),ROUND(J230/U230,2),"")</f>
        <v>14.05</v>
      </c>
      <c r="O230" s="1">
        <v>14.5</v>
      </c>
      <c r="P230" s="1">
        <v>15.66</v>
      </c>
      <c r="Q230" t="s">
        <v>40</v>
      </c>
      <c r="R230" t="s">
        <v>39</v>
      </c>
      <c r="S230">
        <v>538685</v>
      </c>
      <c r="T230">
        <v>538685</v>
      </c>
      <c r="U230" s="3">
        <v>2.5</v>
      </c>
      <c r="V230" s="1">
        <v>14.5</v>
      </c>
      <c r="W230" s="1">
        <v>15.66</v>
      </c>
      <c r="X230" t="s">
        <v>240</v>
      </c>
      <c r="Y230" t="s">
        <v>471</v>
      </c>
      <c r="Z230" s="1">
        <v>32.52</v>
      </c>
      <c r="AA230" s="1">
        <f>IF(AND(ISNUMBER(Z230),ISNUMBER(I230),I230&gt;0,ISNUMBER(J230)),ROUND(Z230*J230/I230,2),"")</f>
        <v>35.12</v>
      </c>
      <c r="AB230" t="s">
        <v>42</v>
      </c>
      <c r="AC230" t="s">
        <v>242</v>
      </c>
      <c r="AD230" t="s">
        <v>44</v>
      </c>
      <c r="AE230" t="s">
        <v>45</v>
      </c>
    </row>
    <row r="231">
      <c r="A231">
        <v>816246</v>
      </c>
      <c r="B231">
        <v>816246</v>
      </c>
      <c r="C231" t="s">
        <v>472</v>
      </c>
      <c r="D231" t="s">
        <v>229</v>
      </c>
      <c r="E231" t="s">
        <v>473</v>
      </c>
      <c r="F231" s="1">
        <v>8.24</v>
      </c>
      <c r="G231" s="2">
        <v>0.6574</v>
      </c>
      <c r="H231" s="2">
        <v>0.79</v>
      </c>
      <c r="I231" s="1">
        <v>13.66</v>
      </c>
      <c r="J231" s="1">
        <f>IF(AND(ISNUMBER(F231),ISNUMBER(H231)),ROUND(F231*(1+H231),2),"")</f>
        <v>14.75</v>
      </c>
      <c r="K231" s="2">
        <f>IF(AND(ISNUMBER(I231),I231&gt;0,ISNUMBER(J231)),J231/I231-1,"")</f>
        <v>0.07979502196193256</v>
      </c>
      <c r="L231" t="s">
        <v>38</v>
      </c>
      <c r="M231" s="1">
        <v>13.01</v>
      </c>
      <c r="N231" s="1">
        <f>IF(AND(ISNUMBER(U231),U231&gt;0,ISNUMBER(J231)),ROUND(J231/U231,2),"")</f>
        <v>14.05</v>
      </c>
      <c r="O231" s="1">
        <v>14.5</v>
      </c>
      <c r="P231" s="1">
        <v>15.66</v>
      </c>
      <c r="Q231" t="s">
        <v>40</v>
      </c>
      <c r="R231" t="s">
        <v>39</v>
      </c>
      <c r="S231">
        <v>590546</v>
      </c>
      <c r="T231">
        <v>590546</v>
      </c>
      <c r="U231" s="3">
        <v>1.05</v>
      </c>
      <c r="V231" s="1">
        <v>14.5</v>
      </c>
      <c r="W231" s="1">
        <v>15.66</v>
      </c>
      <c r="X231" t="s">
        <v>240</v>
      </c>
      <c r="Y231" t="s">
        <v>474</v>
      </c>
      <c r="Z231" s="1">
        <v>13.66</v>
      </c>
      <c r="AA231" s="1">
        <f>IF(AND(ISNUMBER(Z231),ISNUMBER(I231),I231&gt;0,ISNUMBER(J231)),ROUND(Z231*J231/I231,2),"")</f>
        <v>14.75</v>
      </c>
      <c r="AB231" t="s">
        <v>42</v>
      </c>
      <c r="AC231" t="s">
        <v>242</v>
      </c>
      <c r="AD231" t="s">
        <v>48</v>
      </c>
      <c r="AE231" t="s">
        <v>45</v>
      </c>
    </row>
    <row r="232">
      <c r="A232">
        <v>805659</v>
      </c>
      <c r="B232">
        <v>805659</v>
      </c>
      <c r="C232" t="s">
        <v>475</v>
      </c>
      <c r="D232" t="s">
        <v>229</v>
      </c>
      <c r="E232" t="s">
        <v>476</v>
      </c>
      <c r="F232" s="1">
        <v>32.58</v>
      </c>
      <c r="G232" s="2">
        <v>0.6574</v>
      </c>
      <c r="H232" s="2">
        <v>0.79</v>
      </c>
      <c r="I232" s="1">
        <v>54</v>
      </c>
      <c r="J232" s="1">
        <f>IF(AND(ISNUMBER(F232),ISNUMBER(H232)),ROUND(F232*(1+H232),2),"")</f>
        <v>58.32</v>
      </c>
      <c r="K232" s="2">
        <f>IF(AND(ISNUMBER(I232),I232&gt;0,ISNUMBER(J232)),J232/I232-1,"")</f>
        <v>0.08000000000000007</v>
      </c>
      <c r="L232" t="s">
        <v>38</v>
      </c>
      <c r="M232" s="1">
        <v>19.29</v>
      </c>
      <c r="N232" s="1">
        <f>IF(AND(ISNUMBER(U232),U232&gt;0,ISNUMBER(J232)),ROUND(J232/U232,2),"")</f>
        <v>20.83</v>
      </c>
      <c r="O232" s="1">
        <v>21.5</v>
      </c>
      <c r="P232" s="1">
        <v>23.22</v>
      </c>
      <c r="Q232" t="s">
        <v>40</v>
      </c>
      <c r="R232" t="s">
        <v>39</v>
      </c>
      <c r="S232">
        <v>526712</v>
      </c>
      <c r="T232">
        <v>526712</v>
      </c>
      <c r="U232" s="3">
        <v>2.8</v>
      </c>
      <c r="V232" s="1">
        <v>21.5</v>
      </c>
      <c r="W232" s="1">
        <v>23.22</v>
      </c>
      <c r="X232" t="s">
        <v>240</v>
      </c>
      <c r="Y232" t="s">
        <v>477</v>
      </c>
      <c r="Z232" s="1">
        <v>54</v>
      </c>
      <c r="AA232" s="1">
        <f>IF(AND(ISNUMBER(Z232),ISNUMBER(I232),I232&gt;0,ISNUMBER(J232)),ROUND(Z232*J232/I232,2),"")</f>
        <v>58.32</v>
      </c>
      <c r="AB232" t="s">
        <v>42</v>
      </c>
      <c r="AC232" t="s">
        <v>242</v>
      </c>
      <c r="AD232" t="s">
        <v>48</v>
      </c>
      <c r="AE232" t="s">
        <v>45</v>
      </c>
    </row>
    <row r="233">
      <c r="A233">
        <v>806161</v>
      </c>
      <c r="B233">
        <v>806161</v>
      </c>
      <c r="C233" t="s">
        <v>478</v>
      </c>
      <c r="D233" t="s">
        <v>229</v>
      </c>
      <c r="E233" t="s">
        <v>194</v>
      </c>
      <c r="F233" s="1">
        <v>14.07</v>
      </c>
      <c r="G233" s="2">
        <v>0.6574</v>
      </c>
      <c r="H233" s="2">
        <v>0.79</v>
      </c>
      <c r="I233" s="1">
        <v>23.32</v>
      </c>
      <c r="J233" s="1">
        <f>IF(AND(ISNUMBER(F233),ISNUMBER(H233)),ROUND(F233*(1+H233),2),"")</f>
        <v>25.19</v>
      </c>
      <c r="K233" s="2">
        <f>IF(AND(ISNUMBER(I233),I233&gt;0,ISNUMBER(J233)),J233/I233-1,"")</f>
        <v>0.08018867924528306</v>
      </c>
      <c r="L233" t="s">
        <v>38</v>
      </c>
      <c r="N233" s="1" t="s">
        <f>IF(AND(ISNUMBER(U233),U233&gt;0,ISNUMBER(J233)),ROUND(J233/U233,2),"")</f>
        <v>39</v>
      </c>
      <c r="Q233" t="s">
        <v>40</v>
      </c>
      <c r="R233" t="s">
        <v>39</v>
      </c>
      <c r="S233">
        <v>527228</v>
      </c>
      <c r="T233">
        <v>527228</v>
      </c>
      <c r="V233" s="1">
        <v>26</v>
      </c>
      <c r="W233" s="1">
        <v>28.08</v>
      </c>
      <c r="X233" t="s">
        <v>250</v>
      </c>
      <c r="Y233" t="s">
        <v>479</v>
      </c>
      <c r="Z233" s="1">
        <v>23.32</v>
      </c>
      <c r="AA233" s="1">
        <f>IF(AND(ISNUMBER(Z233),ISNUMBER(I233),I233&gt;0,ISNUMBER(J233)),ROUND(Z233*J233/I233,2),"")</f>
        <v>25.19</v>
      </c>
      <c r="AB233" t="s">
        <v>42</v>
      </c>
      <c r="AC233" t="s">
        <v>242</v>
      </c>
      <c r="AD233" t="s">
        <v>44</v>
      </c>
      <c r="AE233" t="s">
        <v>45</v>
      </c>
    </row>
    <row r="234">
      <c r="A234">
        <v>941000</v>
      </c>
      <c r="B234">
        <v>941000</v>
      </c>
      <c r="C234" t="s">
        <v>480</v>
      </c>
      <c r="D234" t="s">
        <v>229</v>
      </c>
      <c r="E234" t="s">
        <v>190</v>
      </c>
      <c r="F234" s="1">
        <v>25.71</v>
      </c>
      <c r="G234" s="2">
        <v>0.6574</v>
      </c>
      <c r="H234" s="2">
        <v>0.79</v>
      </c>
      <c r="I234" s="1">
        <v>42.61</v>
      </c>
      <c r="J234" s="1">
        <f>IF(AND(ISNUMBER(F234),ISNUMBER(H234)),ROUND(F234*(1+H234),2),"")</f>
        <v>46.02</v>
      </c>
      <c r="K234" s="2">
        <f>IF(AND(ISNUMBER(I234),I234&gt;0,ISNUMBER(J234)),J234/I234-1,"")</f>
        <v>0.08002816240319177</v>
      </c>
      <c r="L234" t="s">
        <v>38</v>
      </c>
      <c r="N234" s="1" t="s">
        <f>IF(AND(ISNUMBER(U234),U234&gt;0,ISNUMBER(J234)),ROUND(J234/U234,2),"")</f>
        <v>39</v>
      </c>
      <c r="Q234" t="s">
        <v>40</v>
      </c>
      <c r="R234" t="s">
        <v>39</v>
      </c>
      <c r="S234">
        <v>694996</v>
      </c>
      <c r="T234">
        <v>694996</v>
      </c>
      <c r="V234" s="1">
        <v>47.5</v>
      </c>
      <c r="W234" s="1">
        <v>51.3</v>
      </c>
      <c r="X234" t="s">
        <v>250</v>
      </c>
      <c r="Y234" t="s">
        <v>481</v>
      </c>
      <c r="Z234" s="1">
        <v>42.61</v>
      </c>
      <c r="AA234" s="1">
        <f>IF(AND(ISNUMBER(Z234),ISNUMBER(I234),I234&gt;0,ISNUMBER(J234)),ROUND(Z234*J234/I234,2),"")</f>
        <v>46.02</v>
      </c>
      <c r="AB234" t="s">
        <v>42</v>
      </c>
      <c r="AC234" t="s">
        <v>242</v>
      </c>
      <c r="AD234" t="s">
        <v>44</v>
      </c>
      <c r="AE234" t="s">
        <v>45</v>
      </c>
    </row>
    <row r="235">
      <c r="A235">
        <v>940998</v>
      </c>
      <c r="B235">
        <v>940998</v>
      </c>
      <c r="C235" t="s">
        <v>482</v>
      </c>
      <c r="D235" t="s">
        <v>229</v>
      </c>
      <c r="E235" t="s">
        <v>483</v>
      </c>
      <c r="F235" s="1">
        <v>9.2</v>
      </c>
      <c r="G235" s="2">
        <v>0.6574</v>
      </c>
      <c r="H235" s="2">
        <v>0.79</v>
      </c>
      <c r="I235" s="1">
        <v>15.25</v>
      </c>
      <c r="J235" s="1">
        <f>IF(AND(ISNUMBER(F235),ISNUMBER(H235)),ROUND(F235*(1+H235),2),"")</f>
        <v>16.47</v>
      </c>
      <c r="K235" s="2">
        <f>IF(AND(ISNUMBER(I235),I235&gt;0,ISNUMBER(J235)),J235/I235-1,"")</f>
        <v>0.07999999999999985</v>
      </c>
      <c r="L235" t="s">
        <v>38</v>
      </c>
      <c r="N235" s="1" t="s">
        <f>IF(AND(ISNUMBER(U235),U235&gt;0,ISNUMBER(J235)),ROUND(J235/U235,2),"")</f>
        <v>39</v>
      </c>
      <c r="Q235" t="s">
        <v>40</v>
      </c>
      <c r="R235" t="s">
        <v>39</v>
      </c>
      <c r="S235">
        <v>694994</v>
      </c>
      <c r="T235">
        <v>694994</v>
      </c>
      <c r="V235" s="1">
        <v>17</v>
      </c>
      <c r="W235" s="1">
        <v>18.36</v>
      </c>
      <c r="X235" t="s">
        <v>250</v>
      </c>
      <c r="Y235" t="s">
        <v>484</v>
      </c>
      <c r="Z235" s="1">
        <v>15.25</v>
      </c>
      <c r="AA235" s="1">
        <f>IF(AND(ISNUMBER(Z235),ISNUMBER(I235),I235&gt;0,ISNUMBER(J235)),ROUND(Z235*J235/I235,2),"")</f>
        <v>16.47</v>
      </c>
      <c r="AB235" t="s">
        <v>42</v>
      </c>
      <c r="AC235" t="s">
        <v>242</v>
      </c>
      <c r="AD235" t="s">
        <v>44</v>
      </c>
      <c r="AE235" t="s">
        <v>45</v>
      </c>
    </row>
    <row r="236">
      <c r="A236">
        <v>806159</v>
      </c>
      <c r="B236">
        <v>806159</v>
      </c>
      <c r="C236" t="s">
        <v>485</v>
      </c>
      <c r="D236" t="s">
        <v>229</v>
      </c>
      <c r="E236" t="s">
        <v>100</v>
      </c>
      <c r="F236" s="1">
        <v>13.53</v>
      </c>
      <c r="G236" s="2">
        <v>0.6574</v>
      </c>
      <c r="H236" s="2">
        <v>0.79</v>
      </c>
      <c r="I236" s="1">
        <v>22.42</v>
      </c>
      <c r="J236" s="1">
        <f>IF(AND(ISNUMBER(F236),ISNUMBER(H236)),ROUND(F236*(1+H236),2),"")</f>
        <v>24.22</v>
      </c>
      <c r="K236" s="2">
        <f>IF(AND(ISNUMBER(I236),I236&gt;0,ISNUMBER(J236)),J236/I236-1,"")</f>
        <v>0.08028545941123988</v>
      </c>
      <c r="L236" t="s">
        <v>38</v>
      </c>
      <c r="M236" s="1">
        <v>22.42</v>
      </c>
      <c r="N236" s="1">
        <f>IF(AND(ISNUMBER(U236),U236&gt;0,ISNUMBER(J236)),ROUND(J236/U236,2),"")</f>
        <v>24.22</v>
      </c>
      <c r="Q236" t="s">
        <v>40</v>
      </c>
      <c r="R236" t="s">
        <v>39</v>
      </c>
      <c r="S236">
        <v>527225</v>
      </c>
      <c r="T236">
        <v>527225</v>
      </c>
      <c r="U236" s="3">
        <v>1</v>
      </c>
      <c r="X236" t="s">
        <v>41</v>
      </c>
      <c r="Z236" s="1">
        <v>22.42</v>
      </c>
      <c r="AA236" s="1">
        <f>IF(AND(ISNUMBER(Z236),ISNUMBER(I236),I236&gt;0,ISNUMBER(J236)),ROUND(Z236*J236/I236,2),"")</f>
        <v>24.22</v>
      </c>
      <c r="AB236" t="s">
        <v>42</v>
      </c>
      <c r="AC236" t="s">
        <v>43</v>
      </c>
      <c r="AD236" t="s">
        <v>48</v>
      </c>
      <c r="AE236" t="s">
        <v>45</v>
      </c>
    </row>
    <row r="237">
      <c r="A237">
        <v>940994</v>
      </c>
      <c r="B237">
        <v>940994</v>
      </c>
      <c r="C237" t="s">
        <v>486</v>
      </c>
      <c r="D237" t="s">
        <v>229</v>
      </c>
      <c r="E237" t="s">
        <v>153</v>
      </c>
      <c r="F237" s="1">
        <v>7.58</v>
      </c>
      <c r="G237" s="2">
        <v>0.6574</v>
      </c>
      <c r="H237" s="2">
        <v>0.79</v>
      </c>
      <c r="I237" s="1">
        <v>12.56</v>
      </c>
      <c r="J237" s="1">
        <f>IF(AND(ISNUMBER(F237),ISNUMBER(H237)),ROUND(F237*(1+H237),2),"")</f>
        <v>13.57</v>
      </c>
      <c r="K237" s="2">
        <f>IF(AND(ISNUMBER(I237),I237&gt;0,ISNUMBER(J237)),J237/I237-1,"")</f>
        <v>0.08041401273885351</v>
      </c>
      <c r="L237" t="s">
        <v>38</v>
      </c>
      <c r="M237" s="1">
        <v>25.12</v>
      </c>
      <c r="N237" s="1">
        <f>IF(AND(ISNUMBER(U237),U237&gt;0,ISNUMBER(J237)),ROUND(J237/U237,2),"")</f>
        <v>27.14</v>
      </c>
      <c r="O237" s="1">
        <v>28</v>
      </c>
      <c r="P237" s="1">
        <v>30.24</v>
      </c>
      <c r="Q237" t="s">
        <v>40</v>
      </c>
      <c r="R237" t="s">
        <v>39</v>
      </c>
      <c r="S237">
        <v>694990</v>
      </c>
      <c r="T237">
        <v>694990</v>
      </c>
      <c r="U237" s="3">
        <v>0.5</v>
      </c>
      <c r="V237" s="1">
        <v>14</v>
      </c>
      <c r="W237" s="1">
        <v>15.12</v>
      </c>
      <c r="X237" t="s">
        <v>244</v>
      </c>
      <c r="Y237" t="s">
        <v>487</v>
      </c>
      <c r="Z237" s="1">
        <v>12.56</v>
      </c>
      <c r="AA237" s="1">
        <f>IF(AND(ISNUMBER(Z237),ISNUMBER(I237),I237&gt;0,ISNUMBER(J237)),ROUND(Z237*J237/I237,2),"")</f>
        <v>13.57</v>
      </c>
      <c r="AB237" t="s">
        <v>42</v>
      </c>
      <c r="AC237" t="s">
        <v>246</v>
      </c>
      <c r="AD237" t="s">
        <v>48</v>
      </c>
      <c r="AE237" t="s">
        <v>45</v>
      </c>
    </row>
    <row r="238">
      <c r="A238">
        <v>1004600</v>
      </c>
      <c r="B238">
        <v>1004600</v>
      </c>
      <c r="C238" t="s">
        <v>488</v>
      </c>
      <c r="D238" t="s">
        <v>229</v>
      </c>
      <c r="E238" t="s">
        <v>489</v>
      </c>
      <c r="F238" s="1">
        <v>28.98</v>
      </c>
      <c r="G238" s="2">
        <v>0.6574</v>
      </c>
      <c r="H238" s="2">
        <v>0.79</v>
      </c>
      <c r="I238" s="1">
        <v>48.03</v>
      </c>
      <c r="J238" s="1">
        <f>IF(AND(ISNUMBER(F238),ISNUMBER(H238)),ROUND(F238*(1+H238),2),"")</f>
        <v>51.87</v>
      </c>
      <c r="K238" s="2">
        <f>IF(AND(ISNUMBER(I238),I238&gt;0,ISNUMBER(J238)),J238/I238-1,"")</f>
        <v>0.07995003123048083</v>
      </c>
      <c r="L238" t="s">
        <v>38</v>
      </c>
      <c r="M238" s="1">
        <v>8.97</v>
      </c>
      <c r="N238" s="1">
        <f>IF(AND(ISNUMBER(U238),U238&gt;0,ISNUMBER(J238)),ROUND(J238/U238,2),"")</f>
        <v>9.69</v>
      </c>
      <c r="O238" s="1">
        <v>10</v>
      </c>
      <c r="P238" s="1">
        <v>10.8</v>
      </c>
      <c r="Q238" t="s">
        <v>40</v>
      </c>
      <c r="R238" t="s">
        <v>39</v>
      </c>
      <c r="S238">
        <v>784656</v>
      </c>
      <c r="T238">
        <v>784656</v>
      </c>
      <c r="U238" s="3">
        <v>5.355</v>
      </c>
      <c r="V238" s="1">
        <v>10</v>
      </c>
      <c r="W238" s="1">
        <v>10.8</v>
      </c>
      <c r="X238" t="s">
        <v>240</v>
      </c>
      <c r="Y238" t="s">
        <v>490</v>
      </c>
      <c r="Z238" s="1">
        <v>48.03</v>
      </c>
      <c r="AA238" s="1">
        <f>IF(AND(ISNUMBER(Z238),ISNUMBER(I238),I238&gt;0,ISNUMBER(J238)),ROUND(Z238*J238/I238,2),"")</f>
        <v>51.87</v>
      </c>
      <c r="AB238" t="s">
        <v>42</v>
      </c>
      <c r="AC238" t="s">
        <v>242</v>
      </c>
      <c r="AD238" t="s">
        <v>48</v>
      </c>
      <c r="AE238" t="s">
        <v>45</v>
      </c>
    </row>
    <row r="239">
      <c r="A239">
        <v>1004599</v>
      </c>
      <c r="B239">
        <v>1004599</v>
      </c>
      <c r="C239" t="s">
        <v>491</v>
      </c>
      <c r="D239" t="s">
        <v>229</v>
      </c>
      <c r="E239" t="s">
        <v>492</v>
      </c>
      <c r="F239" s="1">
        <v>24.38</v>
      </c>
      <c r="G239" s="2">
        <v>0.6574</v>
      </c>
      <c r="H239" s="2">
        <v>0.79</v>
      </c>
      <c r="I239" s="1">
        <v>40.41</v>
      </c>
      <c r="J239" s="1">
        <f>IF(AND(ISNUMBER(F239),ISNUMBER(H239)),ROUND(F239*(1+H239),2),"")</f>
        <v>43.64</v>
      </c>
      <c r="K239" s="2">
        <f>IF(AND(ISNUMBER(I239),I239&gt;0,ISNUMBER(J239)),J239/I239-1,"")</f>
        <v>0.07993071022024267</v>
      </c>
      <c r="L239" t="s">
        <v>38</v>
      </c>
      <c r="M239" s="1">
        <v>8.97</v>
      </c>
      <c r="N239" s="1">
        <f>IF(AND(ISNUMBER(U239),U239&gt;0,ISNUMBER(J239)),ROUND(J239/U239,2),"")</f>
        <v>9.69</v>
      </c>
      <c r="Q239" t="s">
        <v>40</v>
      </c>
      <c r="R239" t="s">
        <v>39</v>
      </c>
      <c r="S239">
        <v>784655</v>
      </c>
      <c r="T239">
        <v>784655</v>
      </c>
      <c r="U239" s="3">
        <v>4.505</v>
      </c>
      <c r="X239" t="s">
        <v>41</v>
      </c>
      <c r="Z239" s="1">
        <v>40.41</v>
      </c>
      <c r="AA239" s="1">
        <f>IF(AND(ISNUMBER(Z239),ISNUMBER(I239),I239&gt;0,ISNUMBER(J239)),ROUND(Z239*J239/I239,2),"")</f>
        <v>43.64</v>
      </c>
      <c r="AB239" t="s">
        <v>42</v>
      </c>
      <c r="AC239" t="s">
        <v>43</v>
      </c>
      <c r="AD239" t="s">
        <v>44</v>
      </c>
      <c r="AE239" t="s">
        <v>45</v>
      </c>
    </row>
    <row r="240">
      <c r="A240">
        <v>805661</v>
      </c>
      <c r="B240">
        <v>805661</v>
      </c>
      <c r="C240" t="s">
        <v>493</v>
      </c>
      <c r="D240" t="s">
        <v>229</v>
      </c>
      <c r="E240" t="s">
        <v>494</v>
      </c>
      <c r="F240" s="1">
        <v>18.94</v>
      </c>
      <c r="G240" s="2">
        <v>0.6574</v>
      </c>
      <c r="H240" s="2">
        <v>0.79</v>
      </c>
      <c r="I240" s="1">
        <v>31.39</v>
      </c>
      <c r="J240" s="1">
        <f>IF(AND(ISNUMBER(F240),ISNUMBER(H240)),ROUND(F240*(1+H240),2),"")</f>
        <v>33.9</v>
      </c>
      <c r="K240" s="2">
        <f>IF(AND(ISNUMBER(I240),I240&gt;0,ISNUMBER(J240)),J240/I240-1,"")</f>
        <v>0.07996177126473403</v>
      </c>
      <c r="L240" t="s">
        <v>38</v>
      </c>
      <c r="M240" s="1">
        <v>8.97</v>
      </c>
      <c r="N240" s="1">
        <f>IF(AND(ISNUMBER(U240),U240&gt;0,ISNUMBER(J240)),ROUND(J240/U240,2),"")</f>
        <v>9.69</v>
      </c>
      <c r="Q240" t="s">
        <v>40</v>
      </c>
      <c r="R240" t="s">
        <v>39</v>
      </c>
      <c r="S240">
        <v>642346</v>
      </c>
      <c r="T240">
        <v>642346</v>
      </c>
      <c r="U240" s="3">
        <v>3.5</v>
      </c>
      <c r="X240" t="s">
        <v>41</v>
      </c>
      <c r="Z240" s="1">
        <v>31.39</v>
      </c>
      <c r="AA240" s="1">
        <f>IF(AND(ISNUMBER(Z240),ISNUMBER(I240),I240&gt;0,ISNUMBER(J240)),ROUND(Z240*J240/I240,2),"")</f>
        <v>33.9</v>
      </c>
      <c r="AB240" t="s">
        <v>42</v>
      </c>
      <c r="AC240" t="s">
        <v>43</v>
      </c>
      <c r="AD240" t="s">
        <v>44</v>
      </c>
      <c r="AE240" t="s">
        <v>45</v>
      </c>
    </row>
    <row r="241">
      <c r="A241">
        <v>805668</v>
      </c>
      <c r="B241">
        <v>805668</v>
      </c>
      <c r="C241" t="s">
        <v>495</v>
      </c>
      <c r="D241" t="s">
        <v>229</v>
      </c>
      <c r="E241" t="s">
        <v>496</v>
      </c>
      <c r="F241" s="1">
        <v>20.82</v>
      </c>
      <c r="G241" s="2">
        <v>0.6574</v>
      </c>
      <c r="H241" s="2">
        <v>0.79</v>
      </c>
      <c r="I241" s="1">
        <v>34.51</v>
      </c>
      <c r="J241" s="1">
        <f>IF(AND(ISNUMBER(F241),ISNUMBER(H241)),ROUND(F241*(1+H241),2),"")</f>
        <v>37.27</v>
      </c>
      <c r="K241" s="2">
        <f>IF(AND(ISNUMBER(I241),I241&gt;0,ISNUMBER(J241)),J241/I241-1,"")</f>
        <v>0.07997681831353254</v>
      </c>
      <c r="L241" t="s">
        <v>38</v>
      </c>
      <c r="M241" s="1">
        <v>36.33</v>
      </c>
      <c r="N241" s="1">
        <f>IF(AND(ISNUMBER(U241),U241&gt;0,ISNUMBER(J241)),ROUND(J241/U241,2),"")</f>
        <v>39.23</v>
      </c>
      <c r="O241" s="1">
        <v>40.5</v>
      </c>
      <c r="P241" s="1">
        <v>43.74</v>
      </c>
      <c r="Q241" t="s">
        <v>40</v>
      </c>
      <c r="R241" t="s">
        <v>39</v>
      </c>
      <c r="S241">
        <v>526721</v>
      </c>
      <c r="T241">
        <v>526721</v>
      </c>
      <c r="U241" s="3">
        <v>0.95</v>
      </c>
      <c r="V241" s="1">
        <v>40.5</v>
      </c>
      <c r="W241" s="1">
        <v>43.74</v>
      </c>
      <c r="X241" t="s">
        <v>240</v>
      </c>
      <c r="Y241" t="s">
        <v>497</v>
      </c>
      <c r="Z241" s="1">
        <v>34.51</v>
      </c>
      <c r="AA241" s="1">
        <f>IF(AND(ISNUMBER(Z241),ISNUMBER(I241),I241&gt;0,ISNUMBER(J241)),ROUND(Z241*J241/I241,2),"")</f>
        <v>37.27</v>
      </c>
      <c r="AB241" t="s">
        <v>42</v>
      </c>
      <c r="AC241" t="s">
        <v>242</v>
      </c>
      <c r="AD241" t="s">
        <v>44</v>
      </c>
      <c r="AE241" t="s">
        <v>45</v>
      </c>
    </row>
    <row r="242">
      <c r="A242">
        <v>921374</v>
      </c>
      <c r="B242">
        <v>921374</v>
      </c>
      <c r="C242" t="s">
        <v>498</v>
      </c>
      <c r="D242" t="s">
        <v>229</v>
      </c>
      <c r="E242" t="s">
        <v>192</v>
      </c>
      <c r="F242" s="1">
        <v>7.8</v>
      </c>
      <c r="G242" s="2">
        <v>0.38</v>
      </c>
      <c r="H242" s="2">
        <v>0.4904</v>
      </c>
      <c r="I242" s="1">
        <v>10.76</v>
      </c>
      <c r="J242" s="1">
        <f>IF(AND(ISNUMBER(F242),ISNUMBER(H242)),ROUND(F242*(1+H242),2),"")</f>
        <v>11.63</v>
      </c>
      <c r="K242" s="2">
        <f>IF(AND(ISNUMBER(I242),I242&gt;0,ISNUMBER(J242)),J242/I242-1,"")</f>
        <v>0.08085501858736066</v>
      </c>
      <c r="L242" t="s">
        <v>38</v>
      </c>
      <c r="M242" s="1">
        <v>21.52</v>
      </c>
      <c r="N242" s="1">
        <f>IF(AND(ISNUMBER(U242),U242&gt;0,ISNUMBER(J242)),ROUND(J242/U242,2),"")</f>
        <v>23.26</v>
      </c>
      <c r="Q242" t="s">
        <v>40</v>
      </c>
      <c r="R242" t="s">
        <v>39</v>
      </c>
      <c r="S242">
        <v>667827</v>
      </c>
      <c r="T242">
        <v>667827</v>
      </c>
      <c r="U242" s="3">
        <v>0.5</v>
      </c>
      <c r="X242" t="s">
        <v>41</v>
      </c>
      <c r="Z242" s="1">
        <v>10.76</v>
      </c>
      <c r="AA242" s="1">
        <f>IF(AND(ISNUMBER(Z242),ISNUMBER(I242),I242&gt;0,ISNUMBER(J242)),ROUND(Z242*J242/I242,2),"")</f>
        <v>11.63</v>
      </c>
      <c r="AB242" t="s">
        <v>42</v>
      </c>
      <c r="AC242" t="s">
        <v>377</v>
      </c>
      <c r="AD242" t="s">
        <v>48</v>
      </c>
      <c r="AE242" t="s">
        <v>45</v>
      </c>
    </row>
    <row r="243">
      <c r="A243">
        <v>805670</v>
      </c>
      <c r="B243">
        <v>805670</v>
      </c>
      <c r="C243" t="s">
        <v>499</v>
      </c>
      <c r="D243" t="s">
        <v>229</v>
      </c>
      <c r="E243" t="s">
        <v>192</v>
      </c>
      <c r="F243" s="1">
        <v>10.82</v>
      </c>
      <c r="G243" s="2">
        <v>0.6574</v>
      </c>
      <c r="H243" s="2">
        <v>0.79</v>
      </c>
      <c r="I243" s="1">
        <v>17.93</v>
      </c>
      <c r="J243" s="1">
        <f>IF(AND(ISNUMBER(F243),ISNUMBER(H243)),ROUND(F243*(1+H243),2),"")</f>
        <v>19.37</v>
      </c>
      <c r="K243" s="2">
        <f>IF(AND(ISNUMBER(I243),I243&gt;0,ISNUMBER(J243)),J243/I243-1,"")</f>
        <v>0.0803123257110987</v>
      </c>
      <c r="L243" t="s">
        <v>38</v>
      </c>
      <c r="M243" s="1">
        <v>35.86</v>
      </c>
      <c r="N243" s="1">
        <f>IF(AND(ISNUMBER(U243),U243&gt;0,ISNUMBER(J243)),ROUND(J243/U243,2),"")</f>
        <v>38.74</v>
      </c>
      <c r="O243" s="1">
        <v>40</v>
      </c>
      <c r="P243" s="1">
        <v>43.2</v>
      </c>
      <c r="Q243" t="s">
        <v>40</v>
      </c>
      <c r="R243" t="s">
        <v>39</v>
      </c>
      <c r="S243">
        <v>526723</v>
      </c>
      <c r="T243">
        <v>526723</v>
      </c>
      <c r="U243" s="3">
        <v>0.5</v>
      </c>
      <c r="V243" s="1">
        <v>20</v>
      </c>
      <c r="W243" s="1">
        <v>21.6</v>
      </c>
      <c r="X243" t="s">
        <v>244</v>
      </c>
      <c r="Y243" t="s">
        <v>500</v>
      </c>
      <c r="Z243" s="1">
        <v>17.93</v>
      </c>
      <c r="AA243" s="1">
        <f>IF(AND(ISNUMBER(Z243),ISNUMBER(I243),I243&gt;0,ISNUMBER(J243)),ROUND(Z243*J243/I243,2),"")</f>
        <v>19.37</v>
      </c>
      <c r="AB243" t="s">
        <v>42</v>
      </c>
      <c r="AC243" t="s">
        <v>246</v>
      </c>
      <c r="AD243" t="s">
        <v>48</v>
      </c>
      <c r="AE243" t="s">
        <v>45</v>
      </c>
    </row>
    <row r="244">
      <c r="A244">
        <v>805678</v>
      </c>
      <c r="B244">
        <v>805678</v>
      </c>
      <c r="C244" t="s">
        <v>501</v>
      </c>
      <c r="D244" t="s">
        <v>229</v>
      </c>
      <c r="E244" t="s">
        <v>192</v>
      </c>
      <c r="F244" s="1">
        <v>8.93</v>
      </c>
      <c r="G244" s="2">
        <v>0.4916</v>
      </c>
      <c r="H244" s="2">
        <v>0.6109</v>
      </c>
      <c r="I244" s="1">
        <v>13.32</v>
      </c>
      <c r="J244" s="1">
        <f>IF(AND(ISNUMBER(F244),ISNUMBER(H244)),ROUND(F244*(1+H244),2),"")</f>
        <v>14.39</v>
      </c>
      <c r="K244" s="2">
        <f>IF(AND(ISNUMBER(I244),I244&gt;0,ISNUMBER(J244)),J244/I244-1,"")</f>
        <v>0.08033033033033044</v>
      </c>
      <c r="L244" t="s">
        <v>340</v>
      </c>
      <c r="M244" s="1">
        <v>26.64</v>
      </c>
      <c r="N244" s="1">
        <f>IF(AND(ISNUMBER(U244),U244&gt;0,ISNUMBER(J244)),ROUND(J244/U244,2),"")</f>
        <v>28.78</v>
      </c>
      <c r="O244" s="1">
        <v>27.7</v>
      </c>
      <c r="P244" s="1">
        <v>29.92</v>
      </c>
      <c r="Q244" t="s">
        <v>40</v>
      </c>
      <c r="R244" t="s">
        <v>39</v>
      </c>
      <c r="S244">
        <v>526731</v>
      </c>
      <c r="T244">
        <v>526731</v>
      </c>
      <c r="U244" s="3">
        <v>0.5</v>
      </c>
      <c r="V244" s="1">
        <v>13.85</v>
      </c>
      <c r="W244" s="1">
        <v>14.96</v>
      </c>
      <c r="X244" t="s">
        <v>244</v>
      </c>
      <c r="Y244" t="s">
        <v>502</v>
      </c>
      <c r="Z244" s="1">
        <v>14.8</v>
      </c>
      <c r="AA244" s="1">
        <f>IF(AND(ISNUMBER(Z244),ISNUMBER(I244),I244&gt;0,ISNUMBER(J244)),ROUND(Z244*J244/I244,2),"")</f>
        <v>15.99</v>
      </c>
      <c r="AB244" t="s">
        <v>42</v>
      </c>
      <c r="AC244" t="s">
        <v>503</v>
      </c>
      <c r="AD244" t="s">
        <v>44</v>
      </c>
      <c r="AE244" t="s">
        <v>45</v>
      </c>
    </row>
    <row r="245">
      <c r="A245">
        <v>929452</v>
      </c>
      <c r="B245">
        <v>929452</v>
      </c>
      <c r="C245" t="s">
        <v>504</v>
      </c>
      <c r="D245" t="s">
        <v>229</v>
      </c>
      <c r="E245" t="s">
        <v>505</v>
      </c>
      <c r="F245" s="1">
        <v>14.07</v>
      </c>
      <c r="G245" s="2">
        <v>0.6574</v>
      </c>
      <c r="H245" s="2">
        <v>0.79</v>
      </c>
      <c r="I245" s="1">
        <v>23.32</v>
      </c>
      <c r="J245" s="1">
        <f>IF(AND(ISNUMBER(F245),ISNUMBER(H245)),ROUND(F245*(1+H245),2),"")</f>
        <v>25.19</v>
      </c>
      <c r="K245" s="2">
        <f>IF(AND(ISNUMBER(I245),I245&gt;0,ISNUMBER(J245)),J245/I245-1,"")</f>
        <v>0.08018867924528306</v>
      </c>
      <c r="L245" t="s">
        <v>38</v>
      </c>
      <c r="M245" s="1">
        <v>23.32</v>
      </c>
      <c r="N245" s="1">
        <f>IF(AND(ISNUMBER(U245),U245&gt;0,ISNUMBER(J245)),ROUND(J245/U245,2),"")</f>
        <v>25.19</v>
      </c>
      <c r="O245" s="1">
        <v>26</v>
      </c>
      <c r="P245" s="1">
        <v>28.08</v>
      </c>
      <c r="Q245" t="s">
        <v>40</v>
      </c>
      <c r="R245" t="s">
        <v>39</v>
      </c>
      <c r="S245">
        <v>677939</v>
      </c>
      <c r="T245">
        <v>677939</v>
      </c>
      <c r="U245" s="3">
        <v>1</v>
      </c>
      <c r="V245" s="1">
        <v>26</v>
      </c>
      <c r="W245" s="1">
        <v>28.08</v>
      </c>
      <c r="X245" t="s">
        <v>240</v>
      </c>
      <c r="Y245" t="s">
        <v>506</v>
      </c>
      <c r="Z245" s="1">
        <v>23.32</v>
      </c>
      <c r="AA245" s="1">
        <f>IF(AND(ISNUMBER(Z245),ISNUMBER(I245),I245&gt;0,ISNUMBER(J245)),ROUND(Z245*J245/I245,2),"")</f>
        <v>25.19</v>
      </c>
      <c r="AB245" t="s">
        <v>42</v>
      </c>
      <c r="AC245" t="s">
        <v>242</v>
      </c>
      <c r="AD245" t="s">
        <v>48</v>
      </c>
      <c r="AE245" t="s">
        <v>45</v>
      </c>
    </row>
    <row r="246">
      <c r="A246">
        <v>894282</v>
      </c>
      <c r="B246">
        <v>894282</v>
      </c>
      <c r="C246" t="s">
        <v>507</v>
      </c>
      <c r="D246" t="s">
        <v>229</v>
      </c>
      <c r="E246" t="s">
        <v>508</v>
      </c>
      <c r="F246" s="1">
        <v>8.37</v>
      </c>
      <c r="G246" s="2">
        <v>0.6574</v>
      </c>
      <c r="H246" s="2">
        <v>0.79</v>
      </c>
      <c r="I246" s="1">
        <v>13.87</v>
      </c>
      <c r="J246" s="1">
        <f>IF(AND(ISNUMBER(F246),ISNUMBER(H246)),ROUND(F246*(1+H246),2),"")</f>
        <v>14.98</v>
      </c>
      <c r="K246" s="2">
        <f>IF(AND(ISNUMBER(I246),I246&gt;0,ISNUMBER(J246)),J246/I246-1,"")</f>
        <v>0.08002883922134107</v>
      </c>
      <c r="L246" t="s">
        <v>38</v>
      </c>
      <c r="M246" s="1">
        <v>23.31</v>
      </c>
      <c r="N246" s="1">
        <f>IF(AND(ISNUMBER(U246),U246&gt;0,ISNUMBER(J246)),ROUND(J246/U246,2),"")</f>
        <v>25.18</v>
      </c>
      <c r="Q246" t="s">
        <v>40</v>
      </c>
      <c r="R246" t="s">
        <v>39</v>
      </c>
      <c r="S246">
        <v>634545</v>
      </c>
      <c r="T246">
        <v>634545</v>
      </c>
      <c r="U246" s="3">
        <v>0.595</v>
      </c>
      <c r="X246" t="s">
        <v>41</v>
      </c>
      <c r="Z246" s="1">
        <v>13.87</v>
      </c>
      <c r="AA246" s="1">
        <f>IF(AND(ISNUMBER(Z246),ISNUMBER(I246),I246&gt;0,ISNUMBER(J246)),ROUND(Z246*J246/I246,2),"")</f>
        <v>14.98</v>
      </c>
      <c r="AB246" t="s">
        <v>42</v>
      </c>
      <c r="AC246" t="s">
        <v>43</v>
      </c>
      <c r="AD246" t="s">
        <v>44</v>
      </c>
      <c r="AE246" t="s">
        <v>45</v>
      </c>
    </row>
    <row r="247">
      <c r="A247">
        <v>995135</v>
      </c>
      <c r="B247">
        <v>995135</v>
      </c>
      <c r="C247" t="s">
        <v>509</v>
      </c>
      <c r="D247" t="s">
        <v>229</v>
      </c>
      <c r="E247" t="s">
        <v>438</v>
      </c>
      <c r="F247" s="1">
        <v>5.41</v>
      </c>
      <c r="G247" s="2">
        <v>0.6574</v>
      </c>
      <c r="H247" s="2">
        <v>0.79</v>
      </c>
      <c r="I247" s="1">
        <v>8.97</v>
      </c>
      <c r="J247" s="1">
        <f>IF(AND(ISNUMBER(F247),ISNUMBER(H247)),ROUND(F247*(1+H247),2),"")</f>
        <v>9.68</v>
      </c>
      <c r="K247" s="2">
        <f>IF(AND(ISNUMBER(I247),I247&gt;0,ISNUMBER(J247)),J247/I247-1,"")</f>
        <v>0.07915273132664424</v>
      </c>
      <c r="L247" t="s">
        <v>38</v>
      </c>
      <c r="N247" s="1" t="s">
        <f>IF(AND(ISNUMBER(U247),U247&gt;0,ISNUMBER(J247)),ROUND(J247/U247,2),"")</f>
        <v>39</v>
      </c>
      <c r="Q247" t="s">
        <v>40</v>
      </c>
      <c r="R247" t="s">
        <v>39</v>
      </c>
      <c r="S247">
        <v>769257</v>
      </c>
      <c r="T247">
        <v>769257</v>
      </c>
      <c r="X247" t="s">
        <v>41</v>
      </c>
      <c r="Z247" s="1">
        <v>8.97</v>
      </c>
      <c r="AA247" s="1">
        <f>IF(AND(ISNUMBER(Z247),ISNUMBER(I247),I247&gt;0,ISNUMBER(J247)),ROUND(Z247*J247/I247,2),"")</f>
        <v>9.68</v>
      </c>
      <c r="AB247" t="s">
        <v>42</v>
      </c>
      <c r="AC247" t="s">
        <v>43</v>
      </c>
      <c r="AD247" t="s">
        <v>48</v>
      </c>
      <c r="AE247" t="s">
        <v>45</v>
      </c>
    </row>
    <row r="248">
      <c r="A248">
        <v>1013987</v>
      </c>
      <c r="B248">
        <v>1013987</v>
      </c>
      <c r="C248" t="s">
        <v>510</v>
      </c>
      <c r="D248" t="s">
        <v>229</v>
      </c>
      <c r="E248" t="s">
        <v>511</v>
      </c>
      <c r="F248" s="1">
        <v>8.93</v>
      </c>
      <c r="G248" s="2">
        <v>0.6574</v>
      </c>
      <c r="H248" s="2">
        <v>0.79</v>
      </c>
      <c r="I248" s="1">
        <v>14.8</v>
      </c>
      <c r="J248" s="1">
        <f>IF(AND(ISNUMBER(F248),ISNUMBER(H248)),ROUND(F248*(1+H248),2),"")</f>
        <v>15.98</v>
      </c>
      <c r="K248" s="2">
        <f>IF(AND(ISNUMBER(I248),I248&gt;0,ISNUMBER(J248)),J248/I248-1,"")</f>
        <v>0.07972972972972969</v>
      </c>
      <c r="L248" t="s">
        <v>38</v>
      </c>
      <c r="M248" s="1">
        <v>14.8</v>
      </c>
      <c r="N248" s="1">
        <f>IF(AND(ISNUMBER(U248),U248&gt;0,ISNUMBER(J248)),ROUND(J248/U248,2),"")</f>
        <v>15.98</v>
      </c>
      <c r="Q248" t="s">
        <v>40</v>
      </c>
      <c r="R248" t="s">
        <v>39</v>
      </c>
      <c r="S248">
        <v>798011</v>
      </c>
      <c r="T248">
        <v>798011</v>
      </c>
      <c r="U248" s="3">
        <v>1</v>
      </c>
      <c r="X248" t="s">
        <v>41</v>
      </c>
      <c r="Z248" s="1">
        <v>14.8</v>
      </c>
      <c r="AA248" s="1">
        <f>IF(AND(ISNUMBER(Z248),ISNUMBER(I248),I248&gt;0,ISNUMBER(J248)),ROUND(Z248*J248/I248,2),"")</f>
        <v>15.98</v>
      </c>
      <c r="AB248" t="s">
        <v>42</v>
      </c>
      <c r="AC248" t="s">
        <v>43</v>
      </c>
      <c r="AD248" t="s">
        <v>44</v>
      </c>
      <c r="AE248" t="s">
        <v>45</v>
      </c>
    </row>
    <row r="249">
      <c r="A249">
        <v>1013988</v>
      </c>
      <c r="B249">
        <v>1013988</v>
      </c>
      <c r="C249" t="s">
        <v>512</v>
      </c>
      <c r="D249" t="s">
        <v>229</v>
      </c>
      <c r="E249" t="s">
        <v>513</v>
      </c>
      <c r="F249" s="1">
        <v>8.93</v>
      </c>
      <c r="G249" s="2">
        <v>0.6574</v>
      </c>
      <c r="H249" s="2">
        <v>0.79</v>
      </c>
      <c r="I249" s="1">
        <v>14.8</v>
      </c>
      <c r="J249" s="1">
        <f>IF(AND(ISNUMBER(F249),ISNUMBER(H249)),ROUND(F249*(1+H249),2),"")</f>
        <v>15.98</v>
      </c>
      <c r="K249" s="2">
        <f>IF(AND(ISNUMBER(I249),I249&gt;0,ISNUMBER(J249)),J249/I249-1,"")</f>
        <v>0.07972972972972969</v>
      </c>
      <c r="L249" t="s">
        <v>38</v>
      </c>
      <c r="M249" s="1">
        <v>6.58</v>
      </c>
      <c r="N249" s="1">
        <f>IF(AND(ISNUMBER(U249),U249&gt;0,ISNUMBER(J249)),ROUND(J249/U249,2),"")</f>
        <v>7.1</v>
      </c>
      <c r="O249" s="1">
        <v>16.5</v>
      </c>
      <c r="P249" s="1">
        <v>17.82</v>
      </c>
      <c r="Q249" t="s">
        <v>40</v>
      </c>
      <c r="R249" t="s">
        <v>39</v>
      </c>
      <c r="S249">
        <v>798012</v>
      </c>
      <c r="T249">
        <v>798012</v>
      </c>
      <c r="U249" s="3">
        <v>2.25</v>
      </c>
      <c r="V249" s="1">
        <v>16.5</v>
      </c>
      <c r="W249" s="1">
        <v>17.82</v>
      </c>
      <c r="X249" t="s">
        <v>240</v>
      </c>
      <c r="Y249" t="s">
        <v>514</v>
      </c>
      <c r="Z249" s="1">
        <v>14.8</v>
      </c>
      <c r="AA249" s="1">
        <f>IF(AND(ISNUMBER(Z249),ISNUMBER(I249),I249&gt;0,ISNUMBER(J249)),ROUND(Z249*J249/I249,2),"")</f>
        <v>15.98</v>
      </c>
      <c r="AB249" t="s">
        <v>42</v>
      </c>
      <c r="AC249" t="s">
        <v>242</v>
      </c>
      <c r="AD249" t="s">
        <v>44</v>
      </c>
      <c r="AE249" t="s">
        <v>45</v>
      </c>
    </row>
    <row r="250">
      <c r="A250">
        <v>805685</v>
      </c>
      <c r="B250">
        <v>805685</v>
      </c>
      <c r="C250" t="s">
        <v>515</v>
      </c>
      <c r="D250" t="s">
        <v>229</v>
      </c>
      <c r="E250" t="s">
        <v>516</v>
      </c>
      <c r="F250" s="1">
        <v>11.91</v>
      </c>
      <c r="G250" s="2">
        <v>0.6574</v>
      </c>
      <c r="H250" s="2">
        <v>0.79</v>
      </c>
      <c r="I250" s="1">
        <v>19.74</v>
      </c>
      <c r="J250" s="1">
        <f>IF(AND(ISNUMBER(F250),ISNUMBER(H250)),ROUND(F250*(1+H250),2),"")</f>
        <v>21.32</v>
      </c>
      <c r="K250" s="2">
        <f>IF(AND(ISNUMBER(I250),I250&gt;0,ISNUMBER(J250)),J250/I250-1,"")</f>
        <v>0.08004052684903762</v>
      </c>
      <c r="L250" t="s">
        <v>38</v>
      </c>
      <c r="M250" s="1">
        <v>7.9</v>
      </c>
      <c r="N250" s="1">
        <f>IF(AND(ISNUMBER(U250),U250&gt;0,ISNUMBER(J250)),ROUND(J250/U250,2),"")</f>
        <v>8.53</v>
      </c>
      <c r="O250" s="1">
        <v>7.4</v>
      </c>
      <c r="P250" s="1">
        <v>7.99</v>
      </c>
      <c r="Q250" t="s">
        <v>40</v>
      </c>
      <c r="R250" t="s">
        <v>39</v>
      </c>
      <c r="S250">
        <v>526738</v>
      </c>
      <c r="T250">
        <v>526738</v>
      </c>
      <c r="U250" s="3">
        <v>2.5</v>
      </c>
      <c r="V250" s="1">
        <v>18.5</v>
      </c>
      <c r="W250" s="1">
        <v>19.98</v>
      </c>
      <c r="X250" t="s">
        <v>244</v>
      </c>
      <c r="Y250" t="s">
        <v>517</v>
      </c>
      <c r="Z250" s="1">
        <v>19.74</v>
      </c>
      <c r="AA250" s="1">
        <f>IF(AND(ISNUMBER(Z250),ISNUMBER(I250),I250&gt;0,ISNUMBER(J250)),ROUND(Z250*J250/I250,2),"")</f>
        <v>21.32</v>
      </c>
      <c r="AB250" t="s">
        <v>42</v>
      </c>
      <c r="AC250" t="s">
        <v>246</v>
      </c>
      <c r="AD250" t="s">
        <v>44</v>
      </c>
      <c r="AE250" t="s">
        <v>45</v>
      </c>
    </row>
    <row r="251">
      <c r="A251">
        <v>805687</v>
      </c>
      <c r="B251">
        <v>805687</v>
      </c>
      <c r="C251" t="s">
        <v>518</v>
      </c>
      <c r="D251" t="s">
        <v>229</v>
      </c>
      <c r="E251" t="s">
        <v>192</v>
      </c>
      <c r="F251" s="1">
        <v>9.2</v>
      </c>
      <c r="G251" s="2">
        <v>0.6574</v>
      </c>
      <c r="H251" s="2">
        <v>0.79</v>
      </c>
      <c r="I251" s="1">
        <v>15.25</v>
      </c>
      <c r="J251" s="1">
        <f>IF(AND(ISNUMBER(F251),ISNUMBER(H251)),ROUND(F251*(1+H251),2),"")</f>
        <v>16.47</v>
      </c>
      <c r="K251" s="2">
        <f>IF(AND(ISNUMBER(I251),I251&gt;0,ISNUMBER(J251)),J251/I251-1,"")</f>
        <v>0.07999999999999985</v>
      </c>
      <c r="L251" t="s">
        <v>38</v>
      </c>
      <c r="M251" s="1">
        <v>30.5</v>
      </c>
      <c r="N251" s="1">
        <f>IF(AND(ISNUMBER(U251),U251&gt;0,ISNUMBER(J251)),ROUND(J251/U251,2),"")</f>
        <v>32.94</v>
      </c>
      <c r="O251" s="1">
        <v>34</v>
      </c>
      <c r="P251" s="1">
        <v>36.72</v>
      </c>
      <c r="Q251" t="s">
        <v>40</v>
      </c>
      <c r="R251" t="s">
        <v>39</v>
      </c>
      <c r="S251">
        <v>526740</v>
      </c>
      <c r="T251">
        <v>526740</v>
      </c>
      <c r="U251" s="3">
        <v>0.5</v>
      </c>
      <c r="V251" s="1">
        <v>17</v>
      </c>
      <c r="W251" s="1">
        <v>18.36</v>
      </c>
      <c r="X251" t="s">
        <v>244</v>
      </c>
      <c r="Y251" t="s">
        <v>519</v>
      </c>
      <c r="Z251" s="1">
        <v>15.25</v>
      </c>
      <c r="AA251" s="1">
        <f>IF(AND(ISNUMBER(Z251),ISNUMBER(I251),I251&gt;0,ISNUMBER(J251)),ROUND(Z251*J251/I251,2),"")</f>
        <v>16.47</v>
      </c>
      <c r="AB251" t="s">
        <v>42</v>
      </c>
      <c r="AC251" t="s">
        <v>246</v>
      </c>
      <c r="AD251" t="s">
        <v>44</v>
      </c>
      <c r="AE251" t="s">
        <v>45</v>
      </c>
    </row>
    <row r="252">
      <c r="A252">
        <v>805692</v>
      </c>
      <c r="B252">
        <v>805692</v>
      </c>
      <c r="C252" t="s">
        <v>520</v>
      </c>
      <c r="D252" t="s">
        <v>229</v>
      </c>
      <c r="E252" t="s">
        <v>212</v>
      </c>
      <c r="F252" s="1">
        <v>10.55</v>
      </c>
      <c r="G252" s="2">
        <v>0.6574</v>
      </c>
      <c r="H252" s="2">
        <v>0.79</v>
      </c>
      <c r="I252" s="1">
        <v>17.49</v>
      </c>
      <c r="J252" s="1">
        <f>IF(AND(ISNUMBER(F252),ISNUMBER(H252)),ROUND(F252*(1+H252),2),"")</f>
        <v>18.88</v>
      </c>
      <c r="K252" s="2">
        <f>IF(AND(ISNUMBER(I252),I252&gt;0,ISNUMBER(J252)),J252/I252-1,"")</f>
        <v>0.07947398513436243</v>
      </c>
      <c r="L252" t="s">
        <v>38</v>
      </c>
      <c r="M252" s="1">
        <v>23.32</v>
      </c>
      <c r="N252" s="1">
        <f>IF(AND(ISNUMBER(U252),U252&gt;0,ISNUMBER(J252)),ROUND(J252/U252,2),"")</f>
        <v>25.17</v>
      </c>
      <c r="O252" s="1">
        <v>26</v>
      </c>
      <c r="P252" s="1">
        <v>28.08</v>
      </c>
      <c r="Q252" t="s">
        <v>40</v>
      </c>
      <c r="R252" t="s">
        <v>39</v>
      </c>
      <c r="S252">
        <v>526745</v>
      </c>
      <c r="T252">
        <v>526745</v>
      </c>
      <c r="U252" s="3">
        <v>0.75</v>
      </c>
      <c r="V252" s="1">
        <v>19.5</v>
      </c>
      <c r="W252" s="1">
        <v>21.06</v>
      </c>
      <c r="X252" t="s">
        <v>244</v>
      </c>
      <c r="Y252" t="s">
        <v>521</v>
      </c>
      <c r="Z252" s="1">
        <v>17.49</v>
      </c>
      <c r="AA252" s="1">
        <f>IF(AND(ISNUMBER(Z252),ISNUMBER(I252),I252&gt;0,ISNUMBER(J252)),ROUND(Z252*J252/I252,2),"")</f>
        <v>18.88</v>
      </c>
      <c r="AB252" t="s">
        <v>42</v>
      </c>
      <c r="AC252" t="s">
        <v>246</v>
      </c>
      <c r="AD252" t="s">
        <v>44</v>
      </c>
      <c r="AE252" t="s">
        <v>45</v>
      </c>
    </row>
    <row r="253">
      <c r="A253">
        <v>805694</v>
      </c>
      <c r="B253">
        <v>805694</v>
      </c>
      <c r="C253" t="s">
        <v>522</v>
      </c>
      <c r="D253" t="s">
        <v>229</v>
      </c>
      <c r="E253" t="s">
        <v>415</v>
      </c>
      <c r="F253" s="1">
        <v>5.41</v>
      </c>
      <c r="G253" s="2">
        <v>0.6574</v>
      </c>
      <c r="H253" s="2">
        <v>0.79</v>
      </c>
      <c r="I253" s="1">
        <v>8.97</v>
      </c>
      <c r="J253" s="1">
        <f>IF(AND(ISNUMBER(F253),ISNUMBER(H253)),ROUND(F253*(1+H253),2),"")</f>
        <v>9.68</v>
      </c>
      <c r="K253" s="2">
        <f>IF(AND(ISNUMBER(I253),I253&gt;0,ISNUMBER(J253)),J253/I253-1,"")</f>
        <v>0.07915273132664424</v>
      </c>
      <c r="L253" t="s">
        <v>38</v>
      </c>
      <c r="M253" s="1">
        <v>47.84</v>
      </c>
      <c r="N253" s="1">
        <f>IF(AND(ISNUMBER(U253),U253&gt;0,ISNUMBER(J253)),ROUND(J253/U253,2),"")</f>
        <v>51.63</v>
      </c>
      <c r="O253" s="1">
        <v>53.33</v>
      </c>
      <c r="P253" s="1">
        <v>57.6</v>
      </c>
      <c r="Q253" t="s">
        <v>40</v>
      </c>
      <c r="R253" t="s">
        <v>39</v>
      </c>
      <c r="S253">
        <v>526747</v>
      </c>
      <c r="T253">
        <v>526747</v>
      </c>
      <c r="U253" s="3">
        <v>0.1875</v>
      </c>
      <c r="V253" s="1">
        <v>10</v>
      </c>
      <c r="W253" s="1">
        <v>10.8</v>
      </c>
      <c r="X253" t="s">
        <v>244</v>
      </c>
      <c r="Y253" t="s">
        <v>523</v>
      </c>
      <c r="Z253" s="1">
        <v>8.97</v>
      </c>
      <c r="AA253" s="1">
        <f>IF(AND(ISNUMBER(Z253),ISNUMBER(I253),I253&gt;0,ISNUMBER(J253)),ROUND(Z253*J253/I253,2),"")</f>
        <v>9.68</v>
      </c>
      <c r="AB253" t="s">
        <v>42</v>
      </c>
      <c r="AC253" t="s">
        <v>246</v>
      </c>
      <c r="AD253" t="s">
        <v>44</v>
      </c>
      <c r="AE253" t="s">
        <v>45</v>
      </c>
    </row>
    <row r="254">
      <c r="A254">
        <v>1107078</v>
      </c>
      <c r="B254">
        <v>1109615</v>
      </c>
      <c r="C254" t="s">
        <v>524</v>
      </c>
      <c r="D254" t="s">
        <v>229</v>
      </c>
      <c r="E254" t="s">
        <v>212</v>
      </c>
      <c r="F254" s="1">
        <v>18.4</v>
      </c>
      <c r="G254" s="2">
        <v>0.6574</v>
      </c>
      <c r="H254" s="2">
        <v>0.79</v>
      </c>
      <c r="I254" s="1">
        <v>30.5</v>
      </c>
      <c r="J254" s="1">
        <f>IF(AND(ISNUMBER(F254),ISNUMBER(H254)),ROUND(F254*(1+H254),2),"")</f>
        <v>32.94</v>
      </c>
      <c r="K254" s="2">
        <f>IF(AND(ISNUMBER(I254),I254&gt;0,ISNUMBER(J254)),J254/I254-1,"")</f>
        <v>0.07999999999999985</v>
      </c>
      <c r="L254" t="s">
        <v>38</v>
      </c>
      <c r="M254" s="1">
        <v>40.67</v>
      </c>
      <c r="N254" s="1">
        <f>IF(AND(ISNUMBER(U254),U254&gt;0,ISNUMBER(J254)),ROUND(J254/U254,2),"")</f>
        <v>43.92</v>
      </c>
      <c r="O254" s="1">
        <v>45.33</v>
      </c>
      <c r="P254" s="1">
        <v>48.96</v>
      </c>
      <c r="Q254" t="s">
        <v>40</v>
      </c>
      <c r="R254" t="s">
        <v>39</v>
      </c>
      <c r="S254">
        <v>925322</v>
      </c>
      <c r="T254">
        <v>929161</v>
      </c>
      <c r="U254" s="3">
        <v>0.75</v>
      </c>
      <c r="V254" s="1">
        <v>34</v>
      </c>
      <c r="W254" s="1">
        <v>36.72</v>
      </c>
      <c r="X254" t="s">
        <v>244</v>
      </c>
      <c r="Y254" t="s">
        <v>525</v>
      </c>
      <c r="Z254" s="1">
        <v>30.5</v>
      </c>
      <c r="AA254" s="1">
        <f>IF(AND(ISNUMBER(Z254),ISNUMBER(I254),I254&gt;0,ISNUMBER(J254)),ROUND(Z254*J254/I254,2),"")</f>
        <v>32.94</v>
      </c>
      <c r="AB254" t="s">
        <v>42</v>
      </c>
      <c r="AC254" t="s">
        <v>246</v>
      </c>
      <c r="AD254" t="s">
        <v>44</v>
      </c>
      <c r="AE254" t="s">
        <v>45</v>
      </c>
    </row>
    <row r="255">
      <c r="A255">
        <v>813069</v>
      </c>
      <c r="B255">
        <v>813069</v>
      </c>
      <c r="C255" t="s">
        <v>526</v>
      </c>
      <c r="D255" t="s">
        <v>229</v>
      </c>
      <c r="E255" t="s">
        <v>292</v>
      </c>
      <c r="F255" s="1">
        <v>7.74</v>
      </c>
      <c r="G255" s="2">
        <v>0.6574</v>
      </c>
      <c r="H255" s="2">
        <v>0.79</v>
      </c>
      <c r="I255" s="1">
        <v>12.83</v>
      </c>
      <c r="J255" s="1">
        <f>IF(AND(ISNUMBER(F255),ISNUMBER(H255)),ROUND(F255*(1+H255),2),"")</f>
        <v>13.85</v>
      </c>
      <c r="K255" s="2">
        <f>IF(AND(ISNUMBER(I255),I255&gt;0,ISNUMBER(J255)),J255/I255-1,"")</f>
        <v>0.07950116913484018</v>
      </c>
      <c r="L255" t="s">
        <v>38</v>
      </c>
      <c r="M255" s="1">
        <v>23.33</v>
      </c>
      <c r="N255" s="1">
        <f>IF(AND(ISNUMBER(U255),U255&gt;0,ISNUMBER(J255)),ROUND(J255/U255,2),"")</f>
        <v>25.18</v>
      </c>
      <c r="O255" s="1">
        <v>26</v>
      </c>
      <c r="P255" s="1">
        <v>28.08</v>
      </c>
      <c r="Q255" t="s">
        <v>40</v>
      </c>
      <c r="R255" t="s">
        <v>39</v>
      </c>
      <c r="S255">
        <v>535099</v>
      </c>
      <c r="T255">
        <v>535099</v>
      </c>
      <c r="U255" s="3">
        <v>0.55</v>
      </c>
      <c r="V255" s="1">
        <v>26</v>
      </c>
      <c r="W255" s="1">
        <v>28.08</v>
      </c>
      <c r="X255" t="s">
        <v>240</v>
      </c>
      <c r="Y255" t="s">
        <v>527</v>
      </c>
      <c r="Z255" s="1">
        <v>12.83</v>
      </c>
      <c r="AA255" s="1">
        <f>IF(AND(ISNUMBER(Z255),ISNUMBER(I255),I255&gt;0,ISNUMBER(J255)),ROUND(Z255*J255/I255,2),"")</f>
        <v>13.85</v>
      </c>
      <c r="AB255" t="s">
        <v>42</v>
      </c>
      <c r="AC255" t="s">
        <v>242</v>
      </c>
      <c r="AD255" t="s">
        <v>48</v>
      </c>
      <c r="AE255" t="s">
        <v>45</v>
      </c>
    </row>
    <row r="256">
      <c r="A256">
        <v>814845</v>
      </c>
      <c r="B256">
        <v>814845</v>
      </c>
      <c r="C256" t="s">
        <v>528</v>
      </c>
      <c r="D256" t="s">
        <v>229</v>
      </c>
      <c r="E256" t="s">
        <v>529</v>
      </c>
      <c r="F256" s="1">
        <v>19.62</v>
      </c>
      <c r="G256" s="2">
        <v>0.6574</v>
      </c>
      <c r="H256" s="2">
        <v>0.79</v>
      </c>
      <c r="I256" s="1">
        <v>32.52</v>
      </c>
      <c r="J256" s="1">
        <f>IF(AND(ISNUMBER(F256),ISNUMBER(H256)),ROUND(F256*(1+H256),2),"")</f>
        <v>35.12</v>
      </c>
      <c r="K256" s="2">
        <f>IF(AND(ISNUMBER(I256),I256&gt;0,ISNUMBER(J256)),J256/I256-1,"")</f>
        <v>0.07995079950799489</v>
      </c>
      <c r="L256" t="s">
        <v>38</v>
      </c>
      <c r="M256" s="1">
        <v>22.43</v>
      </c>
      <c r="N256" s="1">
        <f>IF(AND(ISNUMBER(U256),U256&gt;0,ISNUMBER(J256)),ROUND(J256/U256,2),"")</f>
        <v>24.22</v>
      </c>
      <c r="O256" s="1">
        <v>26</v>
      </c>
      <c r="P256" s="1">
        <v>28.08</v>
      </c>
      <c r="Q256" t="s">
        <v>40</v>
      </c>
      <c r="R256" t="s">
        <v>39</v>
      </c>
      <c r="S256">
        <v>536948</v>
      </c>
      <c r="T256">
        <v>536948</v>
      </c>
      <c r="U256" s="3">
        <v>1.45</v>
      </c>
      <c r="V256" s="1">
        <v>26</v>
      </c>
      <c r="W256" s="1">
        <v>28.08</v>
      </c>
      <c r="X256" t="s">
        <v>240</v>
      </c>
      <c r="Y256" t="s">
        <v>530</v>
      </c>
      <c r="Z256" s="1">
        <v>32.52</v>
      </c>
      <c r="AA256" s="1">
        <f>IF(AND(ISNUMBER(Z256),ISNUMBER(I256),I256&gt;0,ISNUMBER(J256)),ROUND(Z256*J256/I256,2),"")</f>
        <v>35.12</v>
      </c>
      <c r="AB256" t="s">
        <v>42</v>
      </c>
      <c r="AC256" t="s">
        <v>242</v>
      </c>
      <c r="AD256" t="s">
        <v>48</v>
      </c>
      <c r="AE256" t="s">
        <v>45</v>
      </c>
    </row>
    <row r="257">
      <c r="A257">
        <v>814849</v>
      </c>
      <c r="B257">
        <v>814849</v>
      </c>
      <c r="C257" t="s">
        <v>531</v>
      </c>
      <c r="D257" t="s">
        <v>229</v>
      </c>
      <c r="E257" t="s">
        <v>532</v>
      </c>
      <c r="F257" s="1">
        <v>6.49</v>
      </c>
      <c r="G257" s="2">
        <v>0.6574</v>
      </c>
      <c r="H257" s="2">
        <v>0.79</v>
      </c>
      <c r="I257" s="1">
        <v>10.76</v>
      </c>
      <c r="J257" s="1">
        <f>IF(AND(ISNUMBER(F257),ISNUMBER(H257)),ROUND(F257*(1+H257),2),"")</f>
        <v>11.62</v>
      </c>
      <c r="K257" s="2">
        <f>IF(AND(ISNUMBER(I257),I257&gt;0,ISNUMBER(J257)),J257/I257-1,"")</f>
        <v>0.07992565055762069</v>
      </c>
      <c r="L257" t="s">
        <v>38</v>
      </c>
      <c r="M257" s="1">
        <v>5.38</v>
      </c>
      <c r="N257" s="1">
        <f>IF(AND(ISNUMBER(U257),U257&gt;0,ISNUMBER(J257)),ROUND(J257/U257,2),"")</f>
        <v>5.81</v>
      </c>
      <c r="Q257" t="s">
        <v>40</v>
      </c>
      <c r="R257" t="s">
        <v>39</v>
      </c>
      <c r="S257">
        <v>536952</v>
      </c>
      <c r="T257">
        <v>536952</v>
      </c>
      <c r="U257" s="3">
        <v>2</v>
      </c>
      <c r="X257" t="s">
        <v>41</v>
      </c>
      <c r="Z257" s="1">
        <v>10.76</v>
      </c>
      <c r="AA257" s="1">
        <f>IF(AND(ISNUMBER(Z257),ISNUMBER(I257),I257&gt;0,ISNUMBER(J257)),ROUND(Z257*J257/I257,2),"")</f>
        <v>11.62</v>
      </c>
      <c r="AB257" t="s">
        <v>42</v>
      </c>
      <c r="AC257" t="s">
        <v>43</v>
      </c>
      <c r="AD257" t="s">
        <v>48</v>
      </c>
      <c r="AE257" t="s">
        <v>45</v>
      </c>
    </row>
    <row r="258">
      <c r="A258">
        <v>805697</v>
      </c>
      <c r="B258">
        <v>805697</v>
      </c>
      <c r="C258" t="s">
        <v>533</v>
      </c>
      <c r="D258" t="s">
        <v>229</v>
      </c>
      <c r="E258" t="s">
        <v>534</v>
      </c>
      <c r="F258" s="1">
        <v>13.5</v>
      </c>
      <c r="G258" s="2">
        <v>0.6570370370370371</v>
      </c>
      <c r="H258" s="2">
        <v>0.7896</v>
      </c>
      <c r="I258" s="1">
        <v>22.37</v>
      </c>
      <c r="J258" s="1">
        <f>IF(AND(ISNUMBER(F258),ISNUMBER(H258)),ROUND(F258*(1+H258),2),"")</f>
        <v>24.16</v>
      </c>
      <c r="K258" s="2">
        <f>IF(AND(ISNUMBER(I258),I258&gt;0,ISNUMBER(J258)),J258/I258-1,"")</f>
        <v>0.08001788109074659</v>
      </c>
      <c r="L258" t="s">
        <v>38</v>
      </c>
      <c r="M258" s="1">
        <v>44.74</v>
      </c>
      <c r="N258" s="1">
        <f>IF(AND(ISNUMBER(U258),U258&gt;0,ISNUMBER(J258)),ROUND(J258/U258,2),"")</f>
        <v>48.32</v>
      </c>
      <c r="Q258" t="s">
        <v>40</v>
      </c>
      <c r="R258" t="s">
        <v>39</v>
      </c>
      <c r="S258">
        <v>526750</v>
      </c>
      <c r="T258">
        <v>526750</v>
      </c>
      <c r="U258" s="3">
        <v>0.5</v>
      </c>
      <c r="X258" t="s">
        <v>41</v>
      </c>
      <c r="Z258" s="1">
        <v>22.37</v>
      </c>
      <c r="AA258" s="1">
        <f>IF(AND(ISNUMBER(Z258),ISNUMBER(I258),I258&gt;0,ISNUMBER(J258)),ROUND(Z258*J258/I258,2),"")</f>
        <v>24.16</v>
      </c>
      <c r="AB258" t="s">
        <v>535</v>
      </c>
      <c r="AC258" t="s">
        <v>318</v>
      </c>
      <c r="AD258" t="s">
        <v>48</v>
      </c>
      <c r="AE258" t="s">
        <v>45</v>
      </c>
    </row>
    <row r="259">
      <c r="A259">
        <v>805699</v>
      </c>
      <c r="B259">
        <v>805699</v>
      </c>
      <c r="C259" t="s">
        <v>536</v>
      </c>
      <c r="D259" t="s">
        <v>229</v>
      </c>
      <c r="E259" t="s">
        <v>534</v>
      </c>
      <c r="F259" s="1">
        <v>8.12</v>
      </c>
      <c r="G259" s="2">
        <v>0.6576354679802958</v>
      </c>
      <c r="H259" s="2">
        <v>0.7902</v>
      </c>
      <c r="I259" s="1">
        <v>13.46</v>
      </c>
      <c r="J259" s="1">
        <f>IF(AND(ISNUMBER(F259),ISNUMBER(H259)),ROUND(F259*(1+H259),2),"")</f>
        <v>14.54</v>
      </c>
      <c r="K259" s="2">
        <f>IF(AND(ISNUMBER(I259),I259&gt;0,ISNUMBER(J259)),J259/I259-1,"")</f>
        <v>0.08023774145616636</v>
      </c>
      <c r="L259" t="s">
        <v>38</v>
      </c>
      <c r="M259" s="1">
        <v>26.92</v>
      </c>
      <c r="N259" s="1">
        <f>IF(AND(ISNUMBER(U259),U259&gt;0,ISNUMBER(J259)),ROUND(J259/U259,2),"")</f>
        <v>29.08</v>
      </c>
      <c r="Q259" t="s">
        <v>40</v>
      </c>
      <c r="R259" t="s">
        <v>39</v>
      </c>
      <c r="S259">
        <v>526752</v>
      </c>
      <c r="T259">
        <v>526752</v>
      </c>
      <c r="U259" s="3">
        <v>0.5</v>
      </c>
      <c r="X259" t="s">
        <v>41</v>
      </c>
      <c r="Z259" s="1">
        <v>13.46</v>
      </c>
      <c r="AA259" s="1">
        <f>IF(AND(ISNUMBER(Z259),ISNUMBER(I259),I259&gt;0,ISNUMBER(J259)),ROUND(Z259*J259/I259,2),"")</f>
        <v>14.54</v>
      </c>
      <c r="AB259" t="s">
        <v>537</v>
      </c>
      <c r="AC259" t="s">
        <v>318</v>
      </c>
      <c r="AD259" t="s">
        <v>48</v>
      </c>
      <c r="AE259" t="s">
        <v>45</v>
      </c>
    </row>
    <row r="260">
      <c r="A260">
        <v>883799</v>
      </c>
      <c r="B260">
        <v>883799</v>
      </c>
      <c r="C260" t="s">
        <v>538</v>
      </c>
      <c r="D260" t="s">
        <v>229</v>
      </c>
      <c r="E260" t="s">
        <v>539</v>
      </c>
      <c r="F260" s="1">
        <v>7.71</v>
      </c>
      <c r="G260" s="2">
        <v>0.6574</v>
      </c>
      <c r="H260" s="2">
        <v>0.79</v>
      </c>
      <c r="I260" s="1">
        <v>12.78</v>
      </c>
      <c r="J260" s="1">
        <f>IF(AND(ISNUMBER(F260),ISNUMBER(H260)),ROUND(F260*(1+H260),2),"")</f>
        <v>13.8</v>
      </c>
      <c r="K260" s="2">
        <f>IF(AND(ISNUMBER(I260),I260&gt;0,ISNUMBER(J260)),J260/I260-1,"")</f>
        <v>0.07981220657277</v>
      </c>
      <c r="L260" t="s">
        <v>38</v>
      </c>
      <c r="M260" s="1">
        <v>4.48</v>
      </c>
      <c r="N260" s="1">
        <f>IF(AND(ISNUMBER(U260),U260&gt;0,ISNUMBER(J260)),ROUND(J260/U260,2),"")</f>
        <v>4.84</v>
      </c>
      <c r="Q260" t="s">
        <v>40</v>
      </c>
      <c r="R260" t="s">
        <v>39</v>
      </c>
      <c r="S260">
        <v>621045</v>
      </c>
      <c r="T260">
        <v>621045</v>
      </c>
      <c r="U260" s="3">
        <v>2.85</v>
      </c>
      <c r="X260" t="s">
        <v>41</v>
      </c>
      <c r="Z260" s="1">
        <v>12.78</v>
      </c>
      <c r="AA260" s="1">
        <f>IF(AND(ISNUMBER(Z260),ISNUMBER(I260),I260&gt;0,ISNUMBER(J260)),ROUND(Z260*J260/I260,2),"")</f>
        <v>13.8</v>
      </c>
      <c r="AB260" t="s">
        <v>42</v>
      </c>
      <c r="AC260" t="s">
        <v>43</v>
      </c>
      <c r="AD260" t="s">
        <v>48</v>
      </c>
      <c r="AE260" t="s">
        <v>45</v>
      </c>
    </row>
    <row r="261">
      <c r="A261">
        <v>1048788</v>
      </c>
      <c r="B261">
        <v>1048788</v>
      </c>
      <c r="C261" t="s">
        <v>540</v>
      </c>
      <c r="D261" t="s">
        <v>229</v>
      </c>
      <c r="E261" t="s">
        <v>63</v>
      </c>
      <c r="F261" s="1">
        <v>200</v>
      </c>
      <c r="G261" s="2">
        <v>0</v>
      </c>
      <c r="H261" s="2">
        <v>0</v>
      </c>
      <c r="I261" s="1">
        <v>200</v>
      </c>
      <c r="J261" s="1">
        <f>I261</f>
        <v>200</v>
      </c>
      <c r="K261" s="2">
        <f>IF(AND(ISNUMBER(I261),I261&gt;0,ISNUMBER(J261)),J261/I261-1,"")</f>
        <v>0</v>
      </c>
      <c r="L261" t="s">
        <v>38</v>
      </c>
      <c r="N261" s="1" t="s">
        <f>IF(AND(ISNUMBER(U261),U261&gt;0,ISNUMBER(J261)),ROUND(J261/U261,2),"")</f>
        <v>39</v>
      </c>
      <c r="Q261" t="s">
        <v>230</v>
      </c>
      <c r="R261" t="s">
        <v>39</v>
      </c>
      <c r="S261">
        <v>852421</v>
      </c>
      <c r="T261">
        <v>852421</v>
      </c>
      <c r="X261" t="s">
        <v>41</v>
      </c>
      <c r="Z261" s="1">
        <v>200</v>
      </c>
      <c r="AA261" s="1">
        <f>IF(AND(ISNUMBER(Z261),ISNUMBER(I261),I261&gt;0,ISNUMBER(J261)),ROUND(Z261*J261/I261,2),"")</f>
        <v>200</v>
      </c>
      <c r="AB261" t="s">
        <v>231</v>
      </c>
      <c r="AC261" t="s">
        <v>232</v>
      </c>
      <c r="AD261" t="s">
        <v>44</v>
      </c>
      <c r="AE261" t="s">
        <v>45</v>
      </c>
    </row>
    <row r="262">
      <c r="A262">
        <v>900311</v>
      </c>
      <c r="B262">
        <v>900311</v>
      </c>
      <c r="C262" t="s">
        <v>541</v>
      </c>
      <c r="D262" t="s">
        <v>542</v>
      </c>
      <c r="E262" t="s">
        <v>543</v>
      </c>
      <c r="F262" s="1">
        <v>10.82</v>
      </c>
      <c r="G262" s="2">
        <v>0.6574</v>
      </c>
      <c r="H262" s="2">
        <v>0.79</v>
      </c>
      <c r="I262" s="1">
        <v>17.93</v>
      </c>
      <c r="J262" s="1">
        <f>IF(AND(ISNUMBER(F262),ISNUMBER(H262)),ROUND(F262*(1+H262),2),"")</f>
        <v>19.37</v>
      </c>
      <c r="K262" s="2">
        <f>IF(AND(ISNUMBER(I262),I262&gt;0,ISNUMBER(J262)),J262/I262-1,"")</f>
        <v>0.0803123257110987</v>
      </c>
      <c r="L262" t="s">
        <v>38</v>
      </c>
      <c r="M262" s="1">
        <v>20.49</v>
      </c>
      <c r="N262" s="1">
        <f>IF(AND(ISNUMBER(U262),U262&gt;0,ISNUMBER(J262)),ROUND(J262/U262,2),"")</f>
        <v>22.14</v>
      </c>
      <c r="Q262" t="s">
        <v>40</v>
      </c>
      <c r="R262" t="s">
        <v>39</v>
      </c>
      <c r="S262">
        <v>642340</v>
      </c>
      <c r="T262">
        <v>642340</v>
      </c>
      <c r="U262" s="3">
        <v>0.875</v>
      </c>
      <c r="X262" t="s">
        <v>41</v>
      </c>
      <c r="Z262" s="1">
        <v>17.93</v>
      </c>
      <c r="AA262" s="1">
        <f>IF(AND(ISNUMBER(Z262),ISNUMBER(I262),I262&gt;0,ISNUMBER(J262)),ROUND(Z262*J262/I262,2),"")</f>
        <v>19.37</v>
      </c>
      <c r="AB262" t="s">
        <v>42</v>
      </c>
      <c r="AC262" t="s">
        <v>43</v>
      </c>
      <c r="AD262" t="s">
        <v>48</v>
      </c>
      <c r="AE262" t="s">
        <v>45</v>
      </c>
    </row>
    <row r="263">
      <c r="A263">
        <v>840823</v>
      </c>
      <c r="B263">
        <v>840823</v>
      </c>
      <c r="C263" t="s">
        <v>544</v>
      </c>
      <c r="D263" t="s">
        <v>542</v>
      </c>
      <c r="E263" t="s">
        <v>212</v>
      </c>
      <c r="F263" s="1">
        <v>8.93</v>
      </c>
      <c r="G263" s="2">
        <v>0.6574</v>
      </c>
      <c r="H263" s="2">
        <v>0.79</v>
      </c>
      <c r="I263" s="1">
        <v>14.8</v>
      </c>
      <c r="J263" s="1">
        <f>IF(AND(ISNUMBER(F263),ISNUMBER(H263)),ROUND(F263*(1+H263),2),"")</f>
        <v>15.98</v>
      </c>
      <c r="K263" s="2">
        <f>IF(AND(ISNUMBER(I263),I263&gt;0,ISNUMBER(J263)),J263/I263-1,"")</f>
        <v>0.07972972972972969</v>
      </c>
      <c r="L263" t="s">
        <v>38</v>
      </c>
      <c r="M263" s="1">
        <v>19.73</v>
      </c>
      <c r="N263" s="1">
        <f>IF(AND(ISNUMBER(U263),U263&gt;0,ISNUMBER(J263)),ROUND(J263/U263,2),"")</f>
        <v>21.31</v>
      </c>
      <c r="O263" s="1">
        <v>22</v>
      </c>
      <c r="P263" s="1">
        <v>23.76</v>
      </c>
      <c r="Q263" t="s">
        <v>40</v>
      </c>
      <c r="R263" t="s">
        <v>39</v>
      </c>
      <c r="S263">
        <v>568237</v>
      </c>
      <c r="T263">
        <v>568237</v>
      </c>
      <c r="U263" s="3">
        <v>0.75</v>
      </c>
      <c r="V263" s="1">
        <v>16.5</v>
      </c>
      <c r="W263" s="1">
        <v>17.82</v>
      </c>
      <c r="X263" t="s">
        <v>244</v>
      </c>
      <c r="Y263" t="s">
        <v>545</v>
      </c>
      <c r="Z263" s="1">
        <v>14.8</v>
      </c>
      <c r="AA263" s="1">
        <f>IF(AND(ISNUMBER(Z263),ISNUMBER(I263),I263&gt;0,ISNUMBER(J263)),ROUND(Z263*J263/I263,2),"")</f>
        <v>15.98</v>
      </c>
      <c r="AB263" t="s">
        <v>42</v>
      </c>
      <c r="AC263" t="s">
        <v>246</v>
      </c>
      <c r="AD263" t="s">
        <v>48</v>
      </c>
      <c r="AE263" t="s">
        <v>45</v>
      </c>
    </row>
    <row r="264">
      <c r="A264">
        <v>913652</v>
      </c>
      <c r="B264">
        <v>913652</v>
      </c>
      <c r="C264" t="s">
        <v>546</v>
      </c>
      <c r="D264" t="s">
        <v>542</v>
      </c>
      <c r="E264" t="s">
        <v>212</v>
      </c>
      <c r="F264" s="1">
        <v>9.74</v>
      </c>
      <c r="G264" s="2">
        <v>0.6574</v>
      </c>
      <c r="H264" s="2">
        <v>0.79</v>
      </c>
      <c r="I264" s="1">
        <v>16.14</v>
      </c>
      <c r="J264" s="1">
        <f>IF(AND(ISNUMBER(F264),ISNUMBER(H264)),ROUND(F264*(1+H264),2),"")</f>
        <v>17.43</v>
      </c>
      <c r="K264" s="2">
        <f>IF(AND(ISNUMBER(I264),I264&gt;0,ISNUMBER(J264)),J264/I264-1,"")</f>
        <v>0.07992565055762069</v>
      </c>
      <c r="L264" t="s">
        <v>38</v>
      </c>
      <c r="M264" s="1">
        <v>21.52</v>
      </c>
      <c r="N264" s="1">
        <f>IF(AND(ISNUMBER(U264),U264&gt;0,ISNUMBER(J264)),ROUND(J264/U264,2),"")</f>
        <v>23.24</v>
      </c>
      <c r="O264" s="1">
        <v>24</v>
      </c>
      <c r="P264" s="1">
        <v>25.92</v>
      </c>
      <c r="Q264" t="s">
        <v>40</v>
      </c>
      <c r="R264" t="s">
        <v>39</v>
      </c>
      <c r="S264">
        <v>659188</v>
      </c>
      <c r="T264">
        <v>659188</v>
      </c>
      <c r="U264" s="3">
        <v>0.75</v>
      </c>
      <c r="V264" s="1">
        <v>18</v>
      </c>
      <c r="W264" s="1">
        <v>19.44</v>
      </c>
      <c r="X264" t="s">
        <v>244</v>
      </c>
      <c r="Y264" t="s">
        <v>547</v>
      </c>
      <c r="Z264" s="1">
        <v>16.14</v>
      </c>
      <c r="AA264" s="1">
        <f>IF(AND(ISNUMBER(Z264),ISNUMBER(I264),I264&gt;0,ISNUMBER(J264)),ROUND(Z264*J264/I264,2),"")</f>
        <v>17.43</v>
      </c>
      <c r="AB264" t="s">
        <v>42</v>
      </c>
      <c r="AC264" t="s">
        <v>246</v>
      </c>
      <c r="AD264" t="s">
        <v>44</v>
      </c>
      <c r="AE264" t="s">
        <v>45</v>
      </c>
    </row>
    <row r="265">
      <c r="A265">
        <v>1163729</v>
      </c>
      <c r="B265">
        <v>1164542</v>
      </c>
      <c r="C265" t="s">
        <v>548</v>
      </c>
      <c r="D265" t="s">
        <v>542</v>
      </c>
      <c r="E265" t="s">
        <v>63</v>
      </c>
      <c r="F265" s="1">
        <v>8.93</v>
      </c>
      <c r="G265" s="2">
        <v>0.6574</v>
      </c>
      <c r="H265" s="2">
        <v>0.79</v>
      </c>
      <c r="I265" s="1">
        <v>14.8</v>
      </c>
      <c r="J265" s="1">
        <f>IF(AND(ISNUMBER(F265),ISNUMBER(H265)),ROUND(F265*(1+H265),2),"")</f>
        <v>15.98</v>
      </c>
      <c r="K265" s="2">
        <f>IF(AND(ISNUMBER(I265),I265&gt;0,ISNUMBER(J265)),J265/I265-1,"")</f>
        <v>0.07972972972972969</v>
      </c>
      <c r="L265" t="s">
        <v>38</v>
      </c>
      <c r="N265" s="1" t="s">
        <f>IF(AND(ISNUMBER(U265),U265&gt;0,ISNUMBER(J265)),ROUND(J265/U265,2),"")</f>
        <v>39</v>
      </c>
      <c r="Q265" t="s">
        <v>40</v>
      </c>
      <c r="R265" t="s">
        <v>39</v>
      </c>
      <c r="S265">
        <v>1011355</v>
      </c>
      <c r="T265">
        <v>1012453</v>
      </c>
      <c r="X265" t="s">
        <v>41</v>
      </c>
      <c r="Z265" s="1">
        <v>14.8</v>
      </c>
      <c r="AA265" s="1">
        <f>IF(AND(ISNUMBER(Z265),ISNUMBER(I265),I265&gt;0,ISNUMBER(J265)),ROUND(Z265*J265/I265,2),"")</f>
        <v>15.98</v>
      </c>
      <c r="AB265" t="s">
        <v>42</v>
      </c>
      <c r="AC265" t="s">
        <v>43</v>
      </c>
      <c r="AD265" t="s">
        <v>44</v>
      </c>
      <c r="AE265" t="s">
        <v>45</v>
      </c>
    </row>
    <row r="266">
      <c r="A266">
        <v>913651</v>
      </c>
      <c r="B266">
        <v>913651</v>
      </c>
      <c r="C266" t="s">
        <v>549</v>
      </c>
      <c r="D266" t="s">
        <v>542</v>
      </c>
      <c r="E266" t="s">
        <v>212</v>
      </c>
      <c r="F266" s="1">
        <v>8.93</v>
      </c>
      <c r="G266" s="2">
        <v>0.6574</v>
      </c>
      <c r="H266" s="2">
        <v>0.79</v>
      </c>
      <c r="I266" s="1">
        <v>14.8</v>
      </c>
      <c r="J266" s="1">
        <f>IF(AND(ISNUMBER(F266),ISNUMBER(H266)),ROUND(F266*(1+H266),2),"")</f>
        <v>15.98</v>
      </c>
      <c r="K266" s="2">
        <f>IF(AND(ISNUMBER(I266),I266&gt;0,ISNUMBER(J266)),J266/I266-1,"")</f>
        <v>0.07972972972972969</v>
      </c>
      <c r="L266" t="s">
        <v>38</v>
      </c>
      <c r="M266" s="1">
        <v>19.73</v>
      </c>
      <c r="N266" s="1">
        <f>IF(AND(ISNUMBER(U266),U266&gt;0,ISNUMBER(J266)),ROUND(J266/U266,2),"")</f>
        <v>21.31</v>
      </c>
      <c r="O266" s="1">
        <v>22</v>
      </c>
      <c r="P266" s="1">
        <v>23.76</v>
      </c>
      <c r="Q266" t="s">
        <v>40</v>
      </c>
      <c r="R266" t="s">
        <v>39</v>
      </c>
      <c r="S266">
        <v>659187</v>
      </c>
      <c r="T266">
        <v>659187</v>
      </c>
      <c r="U266" s="3">
        <v>0.75</v>
      </c>
      <c r="V266" s="1">
        <v>16.5</v>
      </c>
      <c r="W266" s="1">
        <v>17.82</v>
      </c>
      <c r="X266" t="s">
        <v>244</v>
      </c>
      <c r="Y266" t="s">
        <v>550</v>
      </c>
      <c r="Z266" s="1">
        <v>14.8</v>
      </c>
      <c r="AA266" s="1">
        <f>IF(AND(ISNUMBER(Z266),ISNUMBER(I266),I266&gt;0,ISNUMBER(J266)),ROUND(Z266*J266/I266,2),"")</f>
        <v>15.98</v>
      </c>
      <c r="AB266" t="s">
        <v>42</v>
      </c>
      <c r="AC266" t="s">
        <v>246</v>
      </c>
      <c r="AD266" t="s">
        <v>44</v>
      </c>
      <c r="AE266" t="s">
        <v>45</v>
      </c>
    </row>
    <row r="267">
      <c r="A267">
        <v>816905</v>
      </c>
      <c r="B267">
        <v>816905</v>
      </c>
      <c r="C267" t="s">
        <v>551</v>
      </c>
      <c r="D267" t="s">
        <v>542</v>
      </c>
      <c r="E267" t="s">
        <v>543</v>
      </c>
      <c r="F267" s="1">
        <v>10.82</v>
      </c>
      <c r="G267" s="2">
        <v>0.6574</v>
      </c>
      <c r="H267" s="2">
        <v>0.79</v>
      </c>
      <c r="I267" s="1">
        <v>17.93</v>
      </c>
      <c r="J267" s="1">
        <f>IF(AND(ISNUMBER(F267),ISNUMBER(H267)),ROUND(F267*(1+H267),2),"")</f>
        <v>19.37</v>
      </c>
      <c r="K267" s="2">
        <f>IF(AND(ISNUMBER(I267),I267&gt;0,ISNUMBER(J267)),J267/I267-1,"")</f>
        <v>0.0803123257110987</v>
      </c>
      <c r="L267" t="s">
        <v>38</v>
      </c>
      <c r="M267" s="1">
        <v>20.49</v>
      </c>
      <c r="N267" s="1">
        <f>IF(AND(ISNUMBER(U267),U267&gt;0,ISNUMBER(J267)),ROUND(J267/U267,2),"")</f>
        <v>22.14</v>
      </c>
      <c r="O267" s="1">
        <v>22.86</v>
      </c>
      <c r="P267" s="1">
        <v>24.69</v>
      </c>
      <c r="Q267" t="s">
        <v>40</v>
      </c>
      <c r="R267" t="s">
        <v>39</v>
      </c>
      <c r="S267">
        <v>539546</v>
      </c>
      <c r="T267">
        <v>539546</v>
      </c>
      <c r="U267" s="3">
        <v>0.875</v>
      </c>
      <c r="V267" s="1">
        <v>20</v>
      </c>
      <c r="W267" s="1">
        <v>21.6</v>
      </c>
      <c r="X267" t="s">
        <v>244</v>
      </c>
      <c r="Y267" t="s">
        <v>552</v>
      </c>
      <c r="Z267" s="1">
        <v>17.93</v>
      </c>
      <c r="AA267" s="1">
        <f>IF(AND(ISNUMBER(Z267),ISNUMBER(I267),I267&gt;0,ISNUMBER(J267)),ROUND(Z267*J267/I267,2),"")</f>
        <v>19.37</v>
      </c>
      <c r="AB267" t="s">
        <v>42</v>
      </c>
      <c r="AC267" t="s">
        <v>246</v>
      </c>
      <c r="AD267" t="s">
        <v>44</v>
      </c>
      <c r="AE267" t="s">
        <v>45</v>
      </c>
    </row>
    <row r="268">
      <c r="A268">
        <v>932132</v>
      </c>
      <c r="B268">
        <v>932132</v>
      </c>
      <c r="C268" t="s">
        <v>553</v>
      </c>
      <c r="D268" t="s">
        <v>542</v>
      </c>
      <c r="E268" t="s">
        <v>543</v>
      </c>
      <c r="F268" s="1">
        <v>10.82</v>
      </c>
      <c r="G268" s="2">
        <v>0.6574</v>
      </c>
      <c r="H268" s="2">
        <v>0.79</v>
      </c>
      <c r="I268" s="1">
        <v>17.93</v>
      </c>
      <c r="J268" s="1">
        <f>IF(AND(ISNUMBER(F268),ISNUMBER(H268)),ROUND(F268*(1+H268),2),"")</f>
        <v>19.37</v>
      </c>
      <c r="K268" s="2">
        <f>IF(AND(ISNUMBER(I268),I268&gt;0,ISNUMBER(J268)),J268/I268-1,"")</f>
        <v>0.0803123257110987</v>
      </c>
      <c r="L268" t="s">
        <v>38</v>
      </c>
      <c r="M268" s="1">
        <v>20.49</v>
      </c>
      <c r="N268" s="1">
        <f>IF(AND(ISNUMBER(U268),U268&gt;0,ISNUMBER(J268)),ROUND(J268/U268,2),"")</f>
        <v>22.14</v>
      </c>
      <c r="O268" s="1">
        <v>22.86</v>
      </c>
      <c r="P268" s="1">
        <v>24.69</v>
      </c>
      <c r="Q268" t="s">
        <v>40</v>
      </c>
      <c r="R268" t="s">
        <v>39</v>
      </c>
      <c r="S268">
        <v>684511</v>
      </c>
      <c r="T268">
        <v>684511</v>
      </c>
      <c r="U268" s="3">
        <v>0.875</v>
      </c>
      <c r="V268" s="1">
        <v>20</v>
      </c>
      <c r="W268" s="1">
        <v>21.6</v>
      </c>
      <c r="X268" t="s">
        <v>244</v>
      </c>
      <c r="Y268" t="s">
        <v>554</v>
      </c>
      <c r="Z268" s="1">
        <v>17.93</v>
      </c>
      <c r="AA268" s="1">
        <f>IF(AND(ISNUMBER(Z268),ISNUMBER(I268),I268&gt;0,ISNUMBER(J268)),ROUND(Z268*J268/I268,2),"")</f>
        <v>19.37</v>
      </c>
      <c r="AB268" t="s">
        <v>42</v>
      </c>
      <c r="AC268" t="s">
        <v>246</v>
      </c>
      <c r="AD268" t="s">
        <v>48</v>
      </c>
      <c r="AE268" t="s">
        <v>45</v>
      </c>
    </row>
    <row r="269">
      <c r="A269">
        <v>1011877</v>
      </c>
      <c r="B269">
        <v>1011877</v>
      </c>
      <c r="C269" t="s">
        <v>555</v>
      </c>
      <c r="D269" t="s">
        <v>542</v>
      </c>
      <c r="E269" t="s">
        <v>190</v>
      </c>
      <c r="F269" s="1">
        <v>7.85</v>
      </c>
      <c r="G269" s="2">
        <v>0.6574</v>
      </c>
      <c r="H269" s="2">
        <v>0.79</v>
      </c>
      <c r="I269" s="1">
        <v>13.01</v>
      </c>
      <c r="J269" s="1">
        <f>IF(AND(ISNUMBER(F269),ISNUMBER(H269)),ROUND(F269*(1+H269),2),"")</f>
        <v>14.05</v>
      </c>
      <c r="K269" s="2">
        <f>IF(AND(ISNUMBER(I269),I269&gt;0,ISNUMBER(J269)),J269/I269-1,"")</f>
        <v>0.0799385088393545</v>
      </c>
      <c r="L269" t="s">
        <v>38</v>
      </c>
      <c r="N269" s="1" t="s">
        <f>IF(AND(ISNUMBER(U269),U269&gt;0,ISNUMBER(J269)),ROUND(J269/U269,2),"")</f>
        <v>39</v>
      </c>
      <c r="Q269" t="s">
        <v>40</v>
      </c>
      <c r="R269" t="s">
        <v>39</v>
      </c>
      <c r="S269">
        <v>795009</v>
      </c>
      <c r="T269">
        <v>795009</v>
      </c>
      <c r="V269" s="1">
        <v>14.5</v>
      </c>
      <c r="W269" s="1">
        <v>15.66</v>
      </c>
      <c r="X269" t="s">
        <v>250</v>
      </c>
      <c r="Y269" t="s">
        <v>556</v>
      </c>
      <c r="Z269" s="1">
        <v>13.01</v>
      </c>
      <c r="AA269" s="1">
        <f>IF(AND(ISNUMBER(Z269),ISNUMBER(I269),I269&gt;0,ISNUMBER(J269)),ROUND(Z269*J269/I269,2),"")</f>
        <v>14.05</v>
      </c>
      <c r="AB269" t="s">
        <v>42</v>
      </c>
      <c r="AC269" t="s">
        <v>242</v>
      </c>
      <c r="AD269" t="s">
        <v>48</v>
      </c>
      <c r="AE269" t="s">
        <v>45</v>
      </c>
    </row>
    <row r="270">
      <c r="A270">
        <v>1131920</v>
      </c>
      <c r="B270">
        <v>1132455</v>
      </c>
      <c r="C270" t="s">
        <v>557</v>
      </c>
      <c r="D270" t="s">
        <v>542</v>
      </c>
      <c r="E270" t="s">
        <v>63</v>
      </c>
      <c r="F270" s="1">
        <v>7.85</v>
      </c>
      <c r="G270" s="2">
        <v>0.6573248407643313</v>
      </c>
      <c r="H270" s="2">
        <v>0.7899</v>
      </c>
      <c r="I270" s="1">
        <v>13.01</v>
      </c>
      <c r="J270" s="1">
        <f>IF(AND(ISNUMBER(F270),ISNUMBER(H270)),ROUND(F270*(1+H270),2),"")</f>
        <v>14.05</v>
      </c>
      <c r="K270" s="2">
        <f>IF(AND(ISNUMBER(I270),I270&gt;0,ISNUMBER(J270)),J270/I270-1,"")</f>
        <v>0.0799385088393545</v>
      </c>
      <c r="L270" t="s">
        <v>38</v>
      </c>
      <c r="N270" s="1" t="s">
        <f>IF(AND(ISNUMBER(U270),U270&gt;0,ISNUMBER(J270)),ROUND(J270/U270,2),"")</f>
        <v>39</v>
      </c>
      <c r="Q270" t="s">
        <v>40</v>
      </c>
      <c r="R270" t="s">
        <v>39</v>
      </c>
      <c r="S270">
        <v>966335</v>
      </c>
      <c r="T270">
        <v>967112</v>
      </c>
      <c r="V270" s="1">
        <v>14.5</v>
      </c>
      <c r="W270" s="1">
        <v>15.66</v>
      </c>
      <c r="X270" t="s">
        <v>250</v>
      </c>
      <c r="Y270" t="s">
        <v>558</v>
      </c>
      <c r="Z270" s="1">
        <v>13.01</v>
      </c>
      <c r="AA270" s="1">
        <f>IF(AND(ISNUMBER(Z270),ISNUMBER(I270),I270&gt;0,ISNUMBER(J270)),ROUND(Z270*J270/I270,2),"")</f>
        <v>14.05</v>
      </c>
      <c r="AB270" t="s">
        <v>559</v>
      </c>
      <c r="AC270" t="s">
        <v>253</v>
      </c>
      <c r="AD270" t="s">
        <v>44</v>
      </c>
      <c r="AE270" t="s">
        <v>45</v>
      </c>
    </row>
    <row r="271">
      <c r="A271">
        <v>1163730</v>
      </c>
      <c r="B271">
        <v>1164543</v>
      </c>
      <c r="C271" t="s">
        <v>560</v>
      </c>
      <c r="D271" t="s">
        <v>542</v>
      </c>
      <c r="E271" t="s">
        <v>561</v>
      </c>
      <c r="F271" s="1">
        <v>8.93</v>
      </c>
      <c r="G271" s="2">
        <v>0.6574</v>
      </c>
      <c r="H271" s="2">
        <v>0.79</v>
      </c>
      <c r="I271" s="1">
        <v>14.8</v>
      </c>
      <c r="J271" s="1">
        <f>IF(AND(ISNUMBER(F271),ISNUMBER(H271)),ROUND(F271*(1+H271),2),"")</f>
        <v>15.98</v>
      </c>
      <c r="K271" s="2">
        <f>IF(AND(ISNUMBER(I271),I271&gt;0,ISNUMBER(J271)),J271/I271-1,"")</f>
        <v>0.07972972972972969</v>
      </c>
      <c r="L271" t="s">
        <v>38</v>
      </c>
      <c r="M271" s="1">
        <v>19.73</v>
      </c>
      <c r="N271" s="1">
        <f>IF(AND(ISNUMBER(U271),U271&gt;0,ISNUMBER(J271)),ROUND(J271/U271,2),"")</f>
        <v>21.31</v>
      </c>
      <c r="Q271" t="s">
        <v>40</v>
      </c>
      <c r="R271" t="s">
        <v>39</v>
      </c>
      <c r="S271">
        <v>1011356</v>
      </c>
      <c r="T271">
        <v>1012454</v>
      </c>
      <c r="U271" s="3">
        <v>0.75</v>
      </c>
      <c r="X271" t="s">
        <v>41</v>
      </c>
      <c r="Z271" s="1">
        <v>14.8</v>
      </c>
      <c r="AA271" s="1">
        <f>IF(AND(ISNUMBER(Z271),ISNUMBER(I271),I271&gt;0,ISNUMBER(J271)),ROUND(Z271*J271/I271,2),"")</f>
        <v>15.98</v>
      </c>
      <c r="AB271" t="s">
        <v>42</v>
      </c>
      <c r="AC271" t="s">
        <v>43</v>
      </c>
      <c r="AD271" t="s">
        <v>44</v>
      </c>
      <c r="AE271" t="s">
        <v>45</v>
      </c>
    </row>
    <row r="272">
      <c r="A272">
        <v>1011876</v>
      </c>
      <c r="B272">
        <v>1164541</v>
      </c>
      <c r="C272" t="s">
        <v>562</v>
      </c>
      <c r="D272" t="s">
        <v>542</v>
      </c>
      <c r="E272" t="s">
        <v>190</v>
      </c>
      <c r="F272" s="1">
        <v>7.85</v>
      </c>
      <c r="G272" s="2">
        <v>0.6574</v>
      </c>
      <c r="H272" s="2">
        <v>0.79</v>
      </c>
      <c r="I272" s="1">
        <v>13.01</v>
      </c>
      <c r="J272" s="1">
        <f>IF(AND(ISNUMBER(F272),ISNUMBER(H272)),ROUND(F272*(1+H272),2),"")</f>
        <v>14.05</v>
      </c>
      <c r="K272" s="2">
        <f>IF(AND(ISNUMBER(I272),I272&gt;0,ISNUMBER(J272)),J272/I272-1,"")</f>
        <v>0.0799385088393545</v>
      </c>
      <c r="L272" t="s">
        <v>38</v>
      </c>
      <c r="N272" s="1" t="s">
        <f>IF(AND(ISNUMBER(U272),U272&gt;0,ISNUMBER(J272)),ROUND(J272/U272,2),"")</f>
        <v>39</v>
      </c>
      <c r="Q272" t="s">
        <v>40</v>
      </c>
      <c r="R272" t="s">
        <v>39</v>
      </c>
      <c r="S272">
        <v>795008</v>
      </c>
      <c r="T272">
        <v>1012452</v>
      </c>
      <c r="V272" s="1">
        <v>14.5</v>
      </c>
      <c r="W272" s="1">
        <v>15.66</v>
      </c>
      <c r="X272" t="s">
        <v>250</v>
      </c>
      <c r="Y272" t="s">
        <v>563</v>
      </c>
      <c r="Z272" s="1">
        <v>13.01</v>
      </c>
      <c r="AA272" s="1">
        <f>IF(AND(ISNUMBER(Z272),ISNUMBER(I272),I272&gt;0,ISNUMBER(J272)),ROUND(Z272*J272/I272,2),"")</f>
        <v>14.05</v>
      </c>
      <c r="AB272" t="s">
        <v>42</v>
      </c>
      <c r="AC272" t="s">
        <v>242</v>
      </c>
      <c r="AD272" t="s">
        <v>48</v>
      </c>
      <c r="AE272" t="s">
        <v>45</v>
      </c>
    </row>
    <row r="273">
      <c r="A273">
        <v>1061161</v>
      </c>
      <c r="B273">
        <v>1061161</v>
      </c>
      <c r="C273" t="s">
        <v>562</v>
      </c>
      <c r="D273" t="s">
        <v>542</v>
      </c>
      <c r="E273" t="s">
        <v>190</v>
      </c>
      <c r="F273" s="1">
        <v>7.85</v>
      </c>
      <c r="G273" s="2">
        <v>0.6574</v>
      </c>
      <c r="H273" s="2">
        <v>0.79</v>
      </c>
      <c r="I273" s="1">
        <v>13.01</v>
      </c>
      <c r="J273" s="1">
        <f>IF(AND(ISNUMBER(F273),ISNUMBER(H273)),ROUND(F273*(1+H273),2),"")</f>
        <v>14.05</v>
      </c>
      <c r="K273" s="2">
        <f>IF(AND(ISNUMBER(I273),I273&gt;0,ISNUMBER(J273)),J273/I273-1,"")</f>
        <v>0.0799385088393545</v>
      </c>
      <c r="L273" t="s">
        <v>38</v>
      </c>
      <c r="N273" s="1" t="s">
        <f>IF(AND(ISNUMBER(U273),U273&gt;0,ISNUMBER(J273)),ROUND(J273/U273,2),"")</f>
        <v>39</v>
      </c>
      <c r="Q273" t="s">
        <v>40</v>
      </c>
      <c r="R273" t="s">
        <v>39</v>
      </c>
      <c r="S273">
        <v>868147</v>
      </c>
      <c r="T273">
        <v>868147</v>
      </c>
      <c r="V273" s="1">
        <v>14.5</v>
      </c>
      <c r="W273" s="1">
        <v>15.66</v>
      </c>
      <c r="X273" t="s">
        <v>250</v>
      </c>
      <c r="Y273" t="s">
        <v>564</v>
      </c>
      <c r="Z273" s="1">
        <v>13.01</v>
      </c>
      <c r="AA273" s="1">
        <f>IF(AND(ISNUMBER(Z273),ISNUMBER(I273),I273&gt;0,ISNUMBER(J273)),ROUND(Z273*J273/I273,2),"")</f>
        <v>14.05</v>
      </c>
      <c r="AB273" t="s">
        <v>42</v>
      </c>
      <c r="AC273" t="s">
        <v>242</v>
      </c>
      <c r="AD273" t="s">
        <v>48</v>
      </c>
      <c r="AE273" t="s">
        <v>45</v>
      </c>
    </row>
    <row r="274">
      <c r="A274">
        <v>1019999</v>
      </c>
      <c r="B274">
        <v>1019999</v>
      </c>
      <c r="C274" t="s">
        <v>565</v>
      </c>
      <c r="D274" t="s">
        <v>542</v>
      </c>
      <c r="E274" t="s">
        <v>190</v>
      </c>
      <c r="F274" s="1">
        <v>7.85</v>
      </c>
      <c r="G274" s="2">
        <v>0.6574</v>
      </c>
      <c r="H274" s="2">
        <v>0.79</v>
      </c>
      <c r="I274" s="1">
        <v>13.01</v>
      </c>
      <c r="J274" s="1">
        <f>IF(AND(ISNUMBER(F274),ISNUMBER(H274)),ROUND(F274*(1+H274),2),"")</f>
        <v>14.05</v>
      </c>
      <c r="K274" s="2">
        <f>IF(AND(ISNUMBER(I274),I274&gt;0,ISNUMBER(J274)),J274/I274-1,"")</f>
        <v>0.0799385088393545</v>
      </c>
      <c r="L274" t="s">
        <v>38</v>
      </c>
      <c r="N274" s="1" t="s">
        <f>IF(AND(ISNUMBER(U274),U274&gt;0,ISNUMBER(J274)),ROUND(J274/U274,2),"")</f>
        <v>39</v>
      </c>
      <c r="Q274" t="s">
        <v>40</v>
      </c>
      <c r="R274" t="s">
        <v>39</v>
      </c>
      <c r="S274">
        <v>806160</v>
      </c>
      <c r="T274">
        <v>806160</v>
      </c>
      <c r="X274" t="s">
        <v>41</v>
      </c>
      <c r="Z274" s="1">
        <v>13.01</v>
      </c>
      <c r="AA274" s="1">
        <f>IF(AND(ISNUMBER(Z274),ISNUMBER(I274),I274&gt;0,ISNUMBER(J274)),ROUND(Z274*J274/I274,2),"")</f>
        <v>14.05</v>
      </c>
      <c r="AB274" t="s">
        <v>42</v>
      </c>
      <c r="AC274" t="s">
        <v>43</v>
      </c>
      <c r="AD274" t="s">
        <v>44</v>
      </c>
      <c r="AE274" t="s">
        <v>45</v>
      </c>
    </row>
    <row r="275">
      <c r="A275">
        <v>840822</v>
      </c>
      <c r="B275">
        <v>840822</v>
      </c>
      <c r="C275" t="s">
        <v>566</v>
      </c>
      <c r="D275" t="s">
        <v>542</v>
      </c>
      <c r="E275" t="s">
        <v>543</v>
      </c>
      <c r="F275" s="1">
        <v>9.74</v>
      </c>
      <c r="G275" s="2">
        <v>0.6574</v>
      </c>
      <c r="H275" s="2">
        <v>0.79</v>
      </c>
      <c r="I275" s="1">
        <v>16.14</v>
      </c>
      <c r="J275" s="1">
        <f>IF(AND(ISNUMBER(F275),ISNUMBER(H275)),ROUND(F275*(1+H275),2),"")</f>
        <v>17.43</v>
      </c>
      <c r="K275" s="2">
        <f>IF(AND(ISNUMBER(I275),I275&gt;0,ISNUMBER(J275)),J275/I275-1,"")</f>
        <v>0.07992565055762069</v>
      </c>
      <c r="L275" t="s">
        <v>38</v>
      </c>
      <c r="M275" s="1">
        <v>18.45</v>
      </c>
      <c r="N275" s="1">
        <f>IF(AND(ISNUMBER(U275),U275&gt;0,ISNUMBER(J275)),ROUND(J275/U275,2),"")</f>
        <v>19.92</v>
      </c>
      <c r="Q275" t="s">
        <v>40</v>
      </c>
      <c r="R275" t="s">
        <v>39</v>
      </c>
      <c r="S275">
        <v>568236</v>
      </c>
      <c r="T275">
        <v>568236</v>
      </c>
      <c r="U275" s="3">
        <v>0.875</v>
      </c>
      <c r="X275" t="s">
        <v>41</v>
      </c>
      <c r="Z275" s="1">
        <v>16.14</v>
      </c>
      <c r="AA275" s="1">
        <f>IF(AND(ISNUMBER(Z275),ISNUMBER(I275),I275&gt;0,ISNUMBER(J275)),ROUND(Z275*J275/I275,2),"")</f>
        <v>17.43</v>
      </c>
      <c r="AB275" t="s">
        <v>42</v>
      </c>
      <c r="AC275" t="s">
        <v>43</v>
      </c>
      <c r="AD275" t="s">
        <v>44</v>
      </c>
      <c r="AE275" t="s">
        <v>45</v>
      </c>
    </row>
    <row r="276">
      <c r="A276">
        <v>913653</v>
      </c>
      <c r="B276">
        <v>913653</v>
      </c>
      <c r="C276" t="s">
        <v>567</v>
      </c>
      <c r="D276" t="s">
        <v>542</v>
      </c>
      <c r="E276" t="s">
        <v>568</v>
      </c>
      <c r="F276" s="1">
        <v>8.12</v>
      </c>
      <c r="G276" s="2">
        <v>0.6574</v>
      </c>
      <c r="H276" s="2">
        <v>0.79</v>
      </c>
      <c r="I276" s="1">
        <v>13.46</v>
      </c>
      <c r="J276" s="1">
        <f>IF(AND(ISNUMBER(F276),ISNUMBER(H276)),ROUND(F276*(1+H276),2),"")</f>
        <v>14.53</v>
      </c>
      <c r="K276" s="2">
        <f>IF(AND(ISNUMBER(I276),I276&gt;0,ISNUMBER(J276)),J276/I276-1,"")</f>
        <v>0.0794947994056463</v>
      </c>
      <c r="L276" t="s">
        <v>38</v>
      </c>
      <c r="M276" s="1">
        <v>13.46</v>
      </c>
      <c r="N276" s="1">
        <f>IF(AND(ISNUMBER(U276),U276&gt;0,ISNUMBER(J276)),ROUND(J276/U276,2),"")</f>
        <v>14.53</v>
      </c>
      <c r="O276" s="1">
        <v>15</v>
      </c>
      <c r="P276" s="1">
        <v>16.2</v>
      </c>
      <c r="Q276" t="s">
        <v>40</v>
      </c>
      <c r="R276" t="s">
        <v>39</v>
      </c>
      <c r="S276">
        <v>659189</v>
      </c>
      <c r="T276">
        <v>659189</v>
      </c>
      <c r="U276" s="3">
        <v>1</v>
      </c>
      <c r="V276" s="1">
        <v>15</v>
      </c>
      <c r="W276" s="1">
        <v>16.2</v>
      </c>
      <c r="X276" t="s">
        <v>244</v>
      </c>
      <c r="Y276" t="s">
        <v>569</v>
      </c>
      <c r="Z276" s="1">
        <v>13.46</v>
      </c>
      <c r="AA276" s="1">
        <f>IF(AND(ISNUMBER(Z276),ISNUMBER(I276),I276&gt;0,ISNUMBER(J276)),ROUND(Z276*J276/I276,2),"")</f>
        <v>14.53</v>
      </c>
      <c r="AB276" t="s">
        <v>42</v>
      </c>
      <c r="AC276" t="s">
        <v>246</v>
      </c>
      <c r="AD276" t="s">
        <v>44</v>
      </c>
      <c r="AE276" t="s">
        <v>45</v>
      </c>
    </row>
    <row r="277">
      <c r="A277">
        <v>818963</v>
      </c>
      <c r="B277">
        <v>818963</v>
      </c>
      <c r="C277" t="s">
        <v>570</v>
      </c>
      <c r="D277" t="s">
        <v>542</v>
      </c>
      <c r="E277" t="s">
        <v>543</v>
      </c>
      <c r="F277" s="1">
        <v>10.82</v>
      </c>
      <c r="G277" s="2">
        <v>0.6574</v>
      </c>
      <c r="H277" s="2">
        <v>0.79</v>
      </c>
      <c r="I277" s="1">
        <v>17.93</v>
      </c>
      <c r="J277" s="1">
        <f>IF(AND(ISNUMBER(F277),ISNUMBER(H277)),ROUND(F277*(1+H277),2),"")</f>
        <v>19.37</v>
      </c>
      <c r="K277" s="2">
        <f>IF(AND(ISNUMBER(I277),I277&gt;0,ISNUMBER(J277)),J277/I277-1,"")</f>
        <v>0.0803123257110987</v>
      </c>
      <c r="L277" t="s">
        <v>38</v>
      </c>
      <c r="M277" s="1">
        <v>20.49</v>
      </c>
      <c r="N277" s="1">
        <f>IF(AND(ISNUMBER(U277),U277&gt;0,ISNUMBER(J277)),ROUND(J277/U277,2),"")</f>
        <v>22.14</v>
      </c>
      <c r="O277" s="1">
        <v>22.86</v>
      </c>
      <c r="P277" s="1">
        <v>24.69</v>
      </c>
      <c r="Q277" t="s">
        <v>40</v>
      </c>
      <c r="R277" t="s">
        <v>39</v>
      </c>
      <c r="S277">
        <v>541754</v>
      </c>
      <c r="T277">
        <v>541754</v>
      </c>
      <c r="U277" s="3">
        <v>0.875</v>
      </c>
      <c r="V277" s="1">
        <v>20</v>
      </c>
      <c r="W277" s="1">
        <v>21.6</v>
      </c>
      <c r="X277" t="s">
        <v>244</v>
      </c>
      <c r="Y277" t="s">
        <v>571</v>
      </c>
      <c r="Z277" s="1">
        <v>17.93</v>
      </c>
      <c r="AA277" s="1">
        <f>IF(AND(ISNUMBER(Z277),ISNUMBER(I277),I277&gt;0,ISNUMBER(J277)),ROUND(Z277*J277/I277,2),"")</f>
        <v>19.37</v>
      </c>
      <c r="AB277" t="s">
        <v>42</v>
      </c>
      <c r="AC277" t="s">
        <v>246</v>
      </c>
      <c r="AD277" t="s">
        <v>44</v>
      </c>
      <c r="AE277" t="s">
        <v>45</v>
      </c>
    </row>
    <row r="278">
      <c r="A278">
        <v>871143</v>
      </c>
      <c r="B278">
        <v>871143</v>
      </c>
      <c r="C278" t="s">
        <v>572</v>
      </c>
      <c r="D278" t="s">
        <v>542</v>
      </c>
      <c r="E278" t="s">
        <v>543</v>
      </c>
      <c r="F278" s="1">
        <v>10.82</v>
      </c>
      <c r="G278" s="2">
        <v>0.6574</v>
      </c>
      <c r="H278" s="2">
        <v>0.79</v>
      </c>
      <c r="I278" s="1">
        <v>17.93</v>
      </c>
      <c r="J278" s="1">
        <f>IF(AND(ISNUMBER(F278),ISNUMBER(H278)),ROUND(F278*(1+H278),2),"")</f>
        <v>19.37</v>
      </c>
      <c r="K278" s="2">
        <f>IF(AND(ISNUMBER(I278),I278&gt;0,ISNUMBER(J278)),J278/I278-1,"")</f>
        <v>0.0803123257110987</v>
      </c>
      <c r="L278" t="s">
        <v>38</v>
      </c>
      <c r="M278" s="1">
        <v>20.49</v>
      </c>
      <c r="N278" s="1">
        <f>IF(AND(ISNUMBER(U278),U278&gt;0,ISNUMBER(J278)),ROUND(J278/U278,2),"")</f>
        <v>22.14</v>
      </c>
      <c r="O278" s="1">
        <v>22.86</v>
      </c>
      <c r="P278" s="1">
        <v>24.69</v>
      </c>
      <c r="Q278" t="s">
        <v>40</v>
      </c>
      <c r="R278" t="s">
        <v>39</v>
      </c>
      <c r="S278">
        <v>604158</v>
      </c>
      <c r="T278">
        <v>604158</v>
      </c>
      <c r="U278" s="3">
        <v>0.875</v>
      </c>
      <c r="V278" s="1">
        <v>20</v>
      </c>
      <c r="W278" s="1">
        <v>21.6</v>
      </c>
      <c r="X278" t="s">
        <v>244</v>
      </c>
      <c r="Y278" t="s">
        <v>573</v>
      </c>
      <c r="Z278" s="1">
        <v>17.93</v>
      </c>
      <c r="AA278" s="1">
        <f>IF(AND(ISNUMBER(Z278),ISNUMBER(I278),I278&gt;0,ISNUMBER(J278)),ROUND(Z278*J278/I278,2),"")</f>
        <v>19.37</v>
      </c>
      <c r="AB278" t="s">
        <v>42</v>
      </c>
      <c r="AC278" t="s">
        <v>246</v>
      </c>
      <c r="AD278" t="s">
        <v>44</v>
      </c>
      <c r="AE278" t="s">
        <v>45</v>
      </c>
    </row>
    <row r="279">
      <c r="A279">
        <v>913648</v>
      </c>
      <c r="B279">
        <v>913648</v>
      </c>
      <c r="C279" t="s">
        <v>574</v>
      </c>
      <c r="D279" t="s">
        <v>542</v>
      </c>
      <c r="E279" t="s">
        <v>575</v>
      </c>
      <c r="F279" s="1">
        <v>12.99</v>
      </c>
      <c r="G279" s="2">
        <v>0.6574</v>
      </c>
      <c r="H279" s="2">
        <v>0.79</v>
      </c>
      <c r="I279" s="1">
        <v>21.53</v>
      </c>
      <c r="J279" s="1">
        <f>IF(AND(ISNUMBER(F279),ISNUMBER(H279)),ROUND(F279*(1+H279),2),"")</f>
        <v>23.25</v>
      </c>
      <c r="K279" s="2">
        <f>IF(AND(ISNUMBER(I279),I279&gt;0,ISNUMBER(J279)),J279/I279-1,"")</f>
        <v>0.07988852763585697</v>
      </c>
      <c r="L279" t="s">
        <v>38</v>
      </c>
      <c r="M279" s="1">
        <v>24.61</v>
      </c>
      <c r="N279" s="1">
        <f>IF(AND(ISNUMBER(U279),U279&gt;0,ISNUMBER(J279)),ROUND(J279/U279,2),"")</f>
        <v>26.57</v>
      </c>
      <c r="O279" s="1">
        <v>27.43</v>
      </c>
      <c r="P279" s="1">
        <v>29.62</v>
      </c>
      <c r="Q279" t="s">
        <v>40</v>
      </c>
      <c r="R279" t="s">
        <v>39</v>
      </c>
      <c r="S279">
        <v>659184</v>
      </c>
      <c r="T279">
        <v>659184</v>
      </c>
      <c r="U279" s="3">
        <v>0.875</v>
      </c>
      <c r="V279" s="1">
        <v>24</v>
      </c>
      <c r="W279" s="1">
        <v>25.92</v>
      </c>
      <c r="X279" t="s">
        <v>244</v>
      </c>
      <c r="Y279" t="s">
        <v>576</v>
      </c>
      <c r="Z279" s="1">
        <v>21.53</v>
      </c>
      <c r="AA279" s="1">
        <f>IF(AND(ISNUMBER(Z279),ISNUMBER(I279),I279&gt;0,ISNUMBER(J279)),ROUND(Z279*J279/I279,2),"")</f>
        <v>23.25</v>
      </c>
      <c r="AB279" t="s">
        <v>42</v>
      </c>
      <c r="AC279" t="s">
        <v>246</v>
      </c>
      <c r="AD279" t="s">
        <v>48</v>
      </c>
      <c r="AE279" t="s">
        <v>45</v>
      </c>
    </row>
    <row r="280">
      <c r="A280">
        <v>805663</v>
      </c>
      <c r="B280">
        <v>805663</v>
      </c>
      <c r="C280" t="s">
        <v>577</v>
      </c>
      <c r="D280" t="s">
        <v>542</v>
      </c>
      <c r="E280" t="s">
        <v>76</v>
      </c>
      <c r="F280" s="1">
        <v>10.82</v>
      </c>
      <c r="G280" s="2">
        <v>0.6574</v>
      </c>
      <c r="H280" s="2">
        <v>0.79</v>
      </c>
      <c r="I280" s="1">
        <v>17.93</v>
      </c>
      <c r="J280" s="1">
        <f>IF(AND(ISNUMBER(F280),ISNUMBER(H280)),ROUND(F280*(1+H280),2),"")</f>
        <v>19.37</v>
      </c>
      <c r="K280" s="2">
        <f>IF(AND(ISNUMBER(I280),I280&gt;0,ISNUMBER(J280)),J280/I280-1,"")</f>
        <v>0.0803123257110987</v>
      </c>
      <c r="L280" t="s">
        <v>38</v>
      </c>
      <c r="M280" s="1">
        <v>17.93</v>
      </c>
      <c r="N280" s="1">
        <f>IF(AND(ISNUMBER(U280),U280&gt;0,ISNUMBER(J280)),ROUND(J280/U280,2),"")</f>
        <v>19.37</v>
      </c>
      <c r="O280" s="1">
        <v>20</v>
      </c>
      <c r="P280" s="1">
        <v>21.6</v>
      </c>
      <c r="Q280" t="s">
        <v>40</v>
      </c>
      <c r="R280" t="s">
        <v>39</v>
      </c>
      <c r="S280">
        <v>547722</v>
      </c>
      <c r="T280">
        <v>547722</v>
      </c>
      <c r="U280" s="3">
        <v>1</v>
      </c>
      <c r="V280" s="1">
        <v>20</v>
      </c>
      <c r="W280" s="1">
        <v>21.6</v>
      </c>
      <c r="X280" t="s">
        <v>244</v>
      </c>
      <c r="Y280" t="s">
        <v>578</v>
      </c>
      <c r="Z280" s="1">
        <v>17.93</v>
      </c>
      <c r="AA280" s="1">
        <f>IF(AND(ISNUMBER(Z280),ISNUMBER(I280),I280&gt;0,ISNUMBER(J280)),ROUND(Z280*J280/I280,2),"")</f>
        <v>19.37</v>
      </c>
      <c r="AB280" t="s">
        <v>42</v>
      </c>
      <c r="AC280" t="s">
        <v>246</v>
      </c>
      <c r="AD280" t="s">
        <v>44</v>
      </c>
      <c r="AE280" t="s">
        <v>45</v>
      </c>
    </row>
    <row r="281">
      <c r="A281">
        <v>941045</v>
      </c>
      <c r="B281">
        <v>941045</v>
      </c>
      <c r="C281" t="s">
        <v>579</v>
      </c>
      <c r="D281" t="s">
        <v>542</v>
      </c>
      <c r="E281" t="s">
        <v>192</v>
      </c>
      <c r="F281" s="1">
        <v>5.41</v>
      </c>
      <c r="G281" s="2">
        <v>0.6574</v>
      </c>
      <c r="H281" s="2">
        <v>0.79</v>
      </c>
      <c r="I281" s="1">
        <v>8.97</v>
      </c>
      <c r="J281" s="1">
        <f>IF(AND(ISNUMBER(F281),ISNUMBER(H281)),ROUND(F281*(1+H281),2),"")</f>
        <v>9.68</v>
      </c>
      <c r="K281" s="2">
        <f>IF(AND(ISNUMBER(I281),I281&gt;0,ISNUMBER(J281)),J281/I281-1,"")</f>
        <v>0.07915273132664424</v>
      </c>
      <c r="L281" t="s">
        <v>38</v>
      </c>
      <c r="M281" s="1">
        <v>17.94</v>
      </c>
      <c r="N281" s="1">
        <f>IF(AND(ISNUMBER(U281),U281&gt;0,ISNUMBER(J281)),ROUND(J281/U281,2),"")</f>
        <v>19.36</v>
      </c>
      <c r="O281" s="1">
        <v>20</v>
      </c>
      <c r="P281" s="1">
        <v>21.6</v>
      </c>
      <c r="Q281" t="s">
        <v>40</v>
      </c>
      <c r="R281" t="s">
        <v>39</v>
      </c>
      <c r="S281">
        <v>695051</v>
      </c>
      <c r="T281">
        <v>695051</v>
      </c>
      <c r="U281" s="3">
        <v>0.5</v>
      </c>
      <c r="V281" s="1">
        <v>10</v>
      </c>
      <c r="W281" s="1">
        <v>10.8</v>
      </c>
      <c r="X281" t="s">
        <v>244</v>
      </c>
      <c r="Y281" t="s">
        <v>580</v>
      </c>
      <c r="Z281" s="1">
        <v>8.97</v>
      </c>
      <c r="AA281" s="1">
        <f>IF(AND(ISNUMBER(Z281),ISNUMBER(I281),I281&gt;0,ISNUMBER(J281)),ROUND(Z281*J281/I281,2),"")</f>
        <v>9.68</v>
      </c>
      <c r="AB281" t="s">
        <v>42</v>
      </c>
      <c r="AC281" t="s">
        <v>246</v>
      </c>
      <c r="AD281" t="s">
        <v>44</v>
      </c>
      <c r="AE281" t="s">
        <v>45</v>
      </c>
    </row>
    <row r="282">
      <c r="A282">
        <v>929464</v>
      </c>
      <c r="B282">
        <v>929464</v>
      </c>
      <c r="C282" t="s">
        <v>581</v>
      </c>
      <c r="D282" t="s">
        <v>542</v>
      </c>
      <c r="E282" t="s">
        <v>76</v>
      </c>
      <c r="F282" s="1">
        <v>8.66</v>
      </c>
      <c r="G282" s="2">
        <v>0.6574</v>
      </c>
      <c r="H282" s="2">
        <v>0.79</v>
      </c>
      <c r="I282" s="1">
        <v>14.35</v>
      </c>
      <c r="J282" s="1">
        <f>IF(AND(ISNUMBER(F282),ISNUMBER(H282)),ROUND(F282*(1+H282),2),"")</f>
        <v>15.5</v>
      </c>
      <c r="K282" s="2">
        <f>IF(AND(ISNUMBER(I282),I282&gt;0,ISNUMBER(J282)),J282/I282-1,"")</f>
        <v>0.08013937282229966</v>
      </c>
      <c r="L282" t="s">
        <v>38</v>
      </c>
      <c r="M282" s="1">
        <v>14.35</v>
      </c>
      <c r="N282" s="1">
        <f>IF(AND(ISNUMBER(U282),U282&gt;0,ISNUMBER(J282)),ROUND(J282/U282,2),"")</f>
        <v>15.5</v>
      </c>
      <c r="O282" s="1">
        <v>16</v>
      </c>
      <c r="P282" s="1">
        <v>17.28</v>
      </c>
      <c r="Q282" t="s">
        <v>40</v>
      </c>
      <c r="R282" t="s">
        <v>39</v>
      </c>
      <c r="S282">
        <v>677954</v>
      </c>
      <c r="T282">
        <v>677954</v>
      </c>
      <c r="U282" s="3">
        <v>1</v>
      </c>
      <c r="V282" s="1">
        <v>16</v>
      </c>
      <c r="W282" s="1">
        <v>17.28</v>
      </c>
      <c r="X282" t="s">
        <v>244</v>
      </c>
      <c r="Y282" t="s">
        <v>582</v>
      </c>
      <c r="Z282" s="1">
        <v>14.35</v>
      </c>
      <c r="AA282" s="1">
        <f>IF(AND(ISNUMBER(Z282),ISNUMBER(I282),I282&gt;0,ISNUMBER(J282)),ROUND(Z282*J282/I282,2),"")</f>
        <v>15.5</v>
      </c>
      <c r="AB282" t="s">
        <v>42</v>
      </c>
      <c r="AC282" t="s">
        <v>246</v>
      </c>
      <c r="AD282" t="s">
        <v>44</v>
      </c>
      <c r="AE282" t="s">
        <v>45</v>
      </c>
    </row>
    <row r="283">
      <c r="A283">
        <v>805665</v>
      </c>
      <c r="B283">
        <v>805665</v>
      </c>
      <c r="C283" t="s">
        <v>583</v>
      </c>
      <c r="D283" t="s">
        <v>542</v>
      </c>
      <c r="E283" t="s">
        <v>192</v>
      </c>
      <c r="F283" s="1">
        <v>5.41</v>
      </c>
      <c r="G283" s="2">
        <v>0.6574</v>
      </c>
      <c r="H283" s="2">
        <v>0.79</v>
      </c>
      <c r="I283" s="1">
        <v>8.97</v>
      </c>
      <c r="J283" s="1">
        <f>IF(AND(ISNUMBER(F283),ISNUMBER(H283)),ROUND(F283*(1+H283),2),"")</f>
        <v>9.68</v>
      </c>
      <c r="K283" s="2">
        <f>IF(AND(ISNUMBER(I283),I283&gt;0,ISNUMBER(J283)),J283/I283-1,"")</f>
        <v>0.07915273132664424</v>
      </c>
      <c r="L283" t="s">
        <v>38</v>
      </c>
      <c r="M283" s="1">
        <v>17.94</v>
      </c>
      <c r="N283" s="1">
        <f>IF(AND(ISNUMBER(U283),U283&gt;0,ISNUMBER(J283)),ROUND(J283/U283,2),"")</f>
        <v>19.36</v>
      </c>
      <c r="O283" s="1">
        <v>20</v>
      </c>
      <c r="P283" s="1">
        <v>21.6</v>
      </c>
      <c r="Q283" t="s">
        <v>40</v>
      </c>
      <c r="R283" t="s">
        <v>39</v>
      </c>
      <c r="S283">
        <v>595381</v>
      </c>
      <c r="T283">
        <v>595381</v>
      </c>
      <c r="U283" s="3">
        <v>0.5</v>
      </c>
      <c r="V283" s="1">
        <v>10</v>
      </c>
      <c r="W283" s="1">
        <v>10.8</v>
      </c>
      <c r="X283" t="s">
        <v>244</v>
      </c>
      <c r="Y283" t="s">
        <v>584</v>
      </c>
      <c r="Z283" s="1">
        <v>8.97</v>
      </c>
      <c r="AA283" s="1">
        <f>IF(AND(ISNUMBER(Z283),ISNUMBER(I283),I283&gt;0,ISNUMBER(J283)),ROUND(Z283*J283/I283,2),"")</f>
        <v>9.68</v>
      </c>
      <c r="AB283" t="s">
        <v>42</v>
      </c>
      <c r="AC283" t="s">
        <v>246</v>
      </c>
      <c r="AD283" t="s">
        <v>44</v>
      </c>
      <c r="AE283" t="s">
        <v>45</v>
      </c>
    </row>
    <row r="284">
      <c r="A284">
        <v>900310</v>
      </c>
      <c r="B284">
        <v>900310</v>
      </c>
      <c r="C284" t="s">
        <v>585</v>
      </c>
      <c r="D284" t="s">
        <v>542</v>
      </c>
      <c r="E284" t="s">
        <v>543</v>
      </c>
      <c r="F284" s="1">
        <v>11.91</v>
      </c>
      <c r="G284" s="2">
        <v>0.6574</v>
      </c>
      <c r="H284" s="2">
        <v>0.79</v>
      </c>
      <c r="I284" s="1">
        <v>19.74</v>
      </c>
      <c r="J284" s="1">
        <f>IF(AND(ISNUMBER(F284),ISNUMBER(H284)),ROUND(F284*(1+H284),2),"")</f>
        <v>21.32</v>
      </c>
      <c r="K284" s="2">
        <f>IF(AND(ISNUMBER(I284),I284&gt;0,ISNUMBER(J284)),J284/I284-1,"")</f>
        <v>0.08004052684903762</v>
      </c>
      <c r="L284" t="s">
        <v>38</v>
      </c>
      <c r="M284" s="1">
        <v>22.56</v>
      </c>
      <c r="N284" s="1">
        <f>IF(AND(ISNUMBER(U284),U284&gt;0,ISNUMBER(J284)),ROUND(J284/U284,2),"")</f>
        <v>24.37</v>
      </c>
      <c r="Q284" t="s">
        <v>40</v>
      </c>
      <c r="R284" t="s">
        <v>39</v>
      </c>
      <c r="S284">
        <v>642339</v>
      </c>
      <c r="T284">
        <v>642339</v>
      </c>
      <c r="U284" s="3">
        <v>0.875</v>
      </c>
      <c r="X284" t="s">
        <v>41</v>
      </c>
      <c r="Z284" s="1">
        <v>19.74</v>
      </c>
      <c r="AA284" s="1">
        <f>IF(AND(ISNUMBER(Z284),ISNUMBER(I284),I284&gt;0,ISNUMBER(J284)),ROUND(Z284*J284/I284,2),"")</f>
        <v>21.32</v>
      </c>
      <c r="AB284" t="s">
        <v>42</v>
      </c>
      <c r="AC284" t="s">
        <v>43</v>
      </c>
      <c r="AD284" t="s">
        <v>48</v>
      </c>
      <c r="AE284" t="s">
        <v>45</v>
      </c>
    </row>
    <row r="285">
      <c r="A285">
        <v>1011872</v>
      </c>
      <c r="B285">
        <v>1011872</v>
      </c>
      <c r="C285" t="s">
        <v>586</v>
      </c>
      <c r="D285" t="s">
        <v>542</v>
      </c>
      <c r="E285" t="s">
        <v>587</v>
      </c>
      <c r="F285" s="1">
        <v>10.82</v>
      </c>
      <c r="G285" s="2">
        <v>0.6574</v>
      </c>
      <c r="H285" s="2">
        <v>0.79</v>
      </c>
      <c r="I285" s="1">
        <v>17.93</v>
      </c>
      <c r="J285" s="1">
        <f>IF(AND(ISNUMBER(F285),ISNUMBER(H285)),ROUND(F285*(1+H285),2),"")</f>
        <v>19.37</v>
      </c>
      <c r="K285" s="2">
        <f>IF(AND(ISNUMBER(I285),I285&gt;0,ISNUMBER(J285)),J285/I285-1,"")</f>
        <v>0.0803123257110987</v>
      </c>
      <c r="L285" t="s">
        <v>38</v>
      </c>
      <c r="M285" s="1">
        <v>22.07</v>
      </c>
      <c r="N285" s="1">
        <f>IF(AND(ISNUMBER(U285),U285&gt;0,ISNUMBER(J285)),ROUND(J285/U285,2),"")</f>
        <v>23.84</v>
      </c>
      <c r="O285" s="1">
        <v>24.62</v>
      </c>
      <c r="P285" s="1">
        <v>26.58</v>
      </c>
      <c r="Q285" t="s">
        <v>40</v>
      </c>
      <c r="R285" t="s">
        <v>39</v>
      </c>
      <c r="S285">
        <v>795004</v>
      </c>
      <c r="T285">
        <v>795004</v>
      </c>
      <c r="U285" s="3">
        <v>0.8125</v>
      </c>
      <c r="V285" s="1">
        <v>20</v>
      </c>
      <c r="W285" s="1">
        <v>21.6</v>
      </c>
      <c r="X285" t="s">
        <v>244</v>
      </c>
      <c r="Y285" t="s">
        <v>588</v>
      </c>
      <c r="Z285" s="1">
        <v>17.93</v>
      </c>
      <c r="AA285" s="1">
        <f>IF(AND(ISNUMBER(Z285),ISNUMBER(I285),I285&gt;0,ISNUMBER(J285)),ROUND(Z285*J285/I285,2),"")</f>
        <v>19.37</v>
      </c>
      <c r="AB285" t="s">
        <v>42</v>
      </c>
      <c r="AC285" t="s">
        <v>246</v>
      </c>
      <c r="AD285" t="s">
        <v>48</v>
      </c>
      <c r="AE285" t="s">
        <v>45</v>
      </c>
    </row>
    <row r="286">
      <c r="A286">
        <v>913650</v>
      </c>
      <c r="B286">
        <v>913650</v>
      </c>
      <c r="C286" t="s">
        <v>589</v>
      </c>
      <c r="D286" t="s">
        <v>542</v>
      </c>
      <c r="E286" t="s">
        <v>543</v>
      </c>
      <c r="F286" s="1">
        <v>10.82</v>
      </c>
      <c r="G286" s="2">
        <v>0.6574</v>
      </c>
      <c r="H286" s="2">
        <v>0.79</v>
      </c>
      <c r="I286" s="1">
        <v>17.93</v>
      </c>
      <c r="J286" s="1">
        <f>IF(AND(ISNUMBER(F286),ISNUMBER(H286)),ROUND(F286*(1+H286),2),"")</f>
        <v>19.37</v>
      </c>
      <c r="K286" s="2">
        <f>IF(AND(ISNUMBER(I286),I286&gt;0,ISNUMBER(J286)),J286/I286-1,"")</f>
        <v>0.0803123257110987</v>
      </c>
      <c r="L286" t="s">
        <v>38</v>
      </c>
      <c r="M286" s="1">
        <v>20.49</v>
      </c>
      <c r="N286" s="1">
        <f>IF(AND(ISNUMBER(U286),U286&gt;0,ISNUMBER(J286)),ROUND(J286/U286,2),"")</f>
        <v>22.14</v>
      </c>
      <c r="O286" s="1">
        <v>22.86</v>
      </c>
      <c r="P286" s="1">
        <v>24.69</v>
      </c>
      <c r="Q286" t="s">
        <v>40</v>
      </c>
      <c r="R286" t="s">
        <v>39</v>
      </c>
      <c r="S286">
        <v>659186</v>
      </c>
      <c r="T286">
        <v>659186</v>
      </c>
      <c r="U286" s="3">
        <v>0.875</v>
      </c>
      <c r="V286" s="1">
        <v>20</v>
      </c>
      <c r="W286" s="1">
        <v>21.6</v>
      </c>
      <c r="X286" t="s">
        <v>244</v>
      </c>
      <c r="Y286" t="s">
        <v>590</v>
      </c>
      <c r="Z286" s="1">
        <v>17.93</v>
      </c>
      <c r="AA286" s="1">
        <f>IF(AND(ISNUMBER(Z286),ISNUMBER(I286),I286&gt;0,ISNUMBER(J286)),ROUND(Z286*J286/I286,2),"")</f>
        <v>19.37</v>
      </c>
      <c r="AB286" t="s">
        <v>42</v>
      </c>
      <c r="AC286" t="s">
        <v>246</v>
      </c>
      <c r="AD286" t="s">
        <v>44</v>
      </c>
      <c r="AE286" t="s">
        <v>45</v>
      </c>
    </row>
    <row r="287">
      <c r="A287">
        <v>1131921</v>
      </c>
      <c r="B287">
        <v>1132457</v>
      </c>
      <c r="C287" t="s">
        <v>591</v>
      </c>
      <c r="D287" t="s">
        <v>542</v>
      </c>
      <c r="E287" t="s">
        <v>63</v>
      </c>
      <c r="F287" s="1">
        <v>10.82</v>
      </c>
      <c r="G287" s="2">
        <v>0.6571164510166358</v>
      </c>
      <c r="H287" s="2">
        <v>0.7897</v>
      </c>
      <c r="I287" s="1">
        <v>17.93</v>
      </c>
      <c r="J287" s="1">
        <f>IF(AND(ISNUMBER(F287),ISNUMBER(H287)),ROUND(F287*(1+H287),2),"")</f>
        <v>19.36</v>
      </c>
      <c r="K287" s="2">
        <f>IF(AND(ISNUMBER(I287),I287&gt;0,ISNUMBER(J287)),J287/I287-1,"")</f>
        <v>0.07975460122699385</v>
      </c>
      <c r="L287" t="s">
        <v>38</v>
      </c>
      <c r="N287" s="1" t="s">
        <f>IF(AND(ISNUMBER(U287),U287&gt;0,ISNUMBER(J287)),ROUND(J287/U287,2),"")</f>
        <v>39</v>
      </c>
      <c r="Q287" t="s">
        <v>40</v>
      </c>
      <c r="R287" t="s">
        <v>39</v>
      </c>
      <c r="S287">
        <v>966336</v>
      </c>
      <c r="T287">
        <v>967114</v>
      </c>
      <c r="V287" s="1">
        <v>20</v>
      </c>
      <c r="W287" s="1">
        <v>21.6</v>
      </c>
      <c r="X287" t="s">
        <v>250</v>
      </c>
      <c r="Y287" t="s">
        <v>592</v>
      </c>
      <c r="Z287" s="1">
        <v>17.93</v>
      </c>
      <c r="AA287" s="1">
        <f>IF(AND(ISNUMBER(Z287),ISNUMBER(I287),I287&gt;0,ISNUMBER(J287)),ROUND(Z287*J287/I287,2),"")</f>
        <v>19.36</v>
      </c>
      <c r="AB287" t="s">
        <v>593</v>
      </c>
      <c r="AC287" t="s">
        <v>253</v>
      </c>
      <c r="AD287" t="s">
        <v>44</v>
      </c>
      <c r="AE287" t="s">
        <v>45</v>
      </c>
    </row>
    <row r="288">
      <c r="A288">
        <v>806164</v>
      </c>
      <c r="B288">
        <v>806164</v>
      </c>
      <c r="C288" t="s">
        <v>594</v>
      </c>
      <c r="D288" t="s">
        <v>595</v>
      </c>
      <c r="E288" t="s">
        <v>596</v>
      </c>
      <c r="F288" s="1">
        <v>7.5</v>
      </c>
      <c r="G288" s="2">
        <v>0.4</v>
      </c>
      <c r="H288" s="2">
        <v>0.512</v>
      </c>
      <c r="I288" s="1">
        <v>10.5</v>
      </c>
      <c r="J288" s="1">
        <f>IF(AND(ISNUMBER(F288),ISNUMBER(H288)),ROUND(F288*(1+H288),2),"")</f>
        <v>11.34</v>
      </c>
      <c r="K288" s="2">
        <f>IF(AND(ISNUMBER(I288),I288&gt;0,ISNUMBER(J288)),J288/I288-1,"")</f>
        <v>0.08000000000000007</v>
      </c>
      <c r="L288" t="s">
        <v>38</v>
      </c>
      <c r="N288" s="1" t="s">
        <f>IF(AND(ISNUMBER(U288),U288&gt;0,ISNUMBER(J288)),ROUND(J288/U288,2),"")</f>
        <v>39</v>
      </c>
      <c r="Q288" t="s">
        <v>40</v>
      </c>
      <c r="R288" t="s">
        <v>39</v>
      </c>
      <c r="S288">
        <v>527233</v>
      </c>
      <c r="T288">
        <v>527233</v>
      </c>
      <c r="X288" t="s">
        <v>41</v>
      </c>
      <c r="Z288" s="1">
        <v>10.5</v>
      </c>
      <c r="AA288" s="1">
        <f>IF(AND(ISNUMBER(Z288),ISNUMBER(I288),I288&gt;0,ISNUMBER(J288)),ROUND(Z288*J288/I288,2),"")</f>
        <v>11.34</v>
      </c>
      <c r="AB288" t="s">
        <v>42</v>
      </c>
      <c r="AC288" t="s">
        <v>43</v>
      </c>
      <c r="AD288" t="s">
        <v>44</v>
      </c>
      <c r="AE288" t="s">
        <v>45</v>
      </c>
    </row>
    <row r="289">
      <c r="A289">
        <v>806019</v>
      </c>
      <c r="B289">
        <v>806019</v>
      </c>
      <c r="C289" t="s">
        <v>597</v>
      </c>
      <c r="D289" t="s">
        <v>595</v>
      </c>
      <c r="E289" t="s">
        <v>596</v>
      </c>
      <c r="F289" s="1">
        <v>8</v>
      </c>
      <c r="G289" s="2">
        <v>0.4</v>
      </c>
      <c r="H289" s="2">
        <v>0.512</v>
      </c>
      <c r="I289" s="1">
        <v>11.2</v>
      </c>
      <c r="J289" s="1">
        <f>IF(AND(ISNUMBER(F289),ISNUMBER(H289)),ROUND(F289*(1+H289),2),"")</f>
        <v>12.1</v>
      </c>
      <c r="K289" s="2">
        <f>IF(AND(ISNUMBER(I289),I289&gt;0,ISNUMBER(J289)),J289/I289-1,"")</f>
        <v>0.0803571428571428</v>
      </c>
      <c r="L289" t="s">
        <v>38</v>
      </c>
      <c r="N289" s="1" t="s">
        <f>IF(AND(ISNUMBER(U289),U289&gt;0,ISNUMBER(J289)),ROUND(J289/U289,2),"")</f>
        <v>39</v>
      </c>
      <c r="Q289" t="s">
        <v>40</v>
      </c>
      <c r="R289" t="s">
        <v>39</v>
      </c>
      <c r="S289">
        <v>527081</v>
      </c>
      <c r="T289">
        <v>527081</v>
      </c>
      <c r="X289" t="s">
        <v>41</v>
      </c>
      <c r="Z289" s="1">
        <v>11.2</v>
      </c>
      <c r="AA289" s="1">
        <f>IF(AND(ISNUMBER(Z289),ISNUMBER(I289),I289&gt;0,ISNUMBER(J289)),ROUND(Z289*J289/I289,2),"")</f>
        <v>12.1</v>
      </c>
      <c r="AB289" t="s">
        <v>42</v>
      </c>
      <c r="AC289" t="s">
        <v>43</v>
      </c>
      <c r="AD289" t="s">
        <v>44</v>
      </c>
      <c r="AE289" t="s">
        <v>45</v>
      </c>
    </row>
    <row r="290">
      <c r="A290">
        <v>806022</v>
      </c>
      <c r="B290">
        <v>806022</v>
      </c>
      <c r="C290" t="s">
        <v>598</v>
      </c>
      <c r="D290" t="s">
        <v>595</v>
      </c>
      <c r="E290" t="s">
        <v>96</v>
      </c>
      <c r="F290" s="1">
        <v>3</v>
      </c>
      <c r="G290" s="2">
        <v>0.4</v>
      </c>
      <c r="H290" s="2">
        <v>0.512</v>
      </c>
      <c r="I290" s="1">
        <v>4.2</v>
      </c>
      <c r="J290" s="1">
        <f>IF(AND(ISNUMBER(F290),ISNUMBER(H290)),ROUND(F290*(1+H290),2),"")</f>
        <v>4.54</v>
      </c>
      <c r="K290" s="2">
        <f>IF(AND(ISNUMBER(I290),I290&gt;0,ISNUMBER(J290)),J290/I290-1,"")</f>
        <v>0.08095238095238089</v>
      </c>
      <c r="L290" t="s">
        <v>38</v>
      </c>
      <c r="N290" s="1" t="s">
        <f>IF(AND(ISNUMBER(U290),U290&gt;0,ISNUMBER(J290)),ROUND(J290/U290,2),"")</f>
        <v>39</v>
      </c>
      <c r="Q290" t="s">
        <v>40</v>
      </c>
      <c r="R290" t="s">
        <v>39</v>
      </c>
      <c r="S290">
        <v>527084</v>
      </c>
      <c r="T290">
        <v>527084</v>
      </c>
      <c r="X290" t="s">
        <v>41</v>
      </c>
      <c r="Z290" s="1">
        <v>4.2</v>
      </c>
      <c r="AA290" s="1">
        <f>IF(AND(ISNUMBER(Z290),ISNUMBER(I290),I290&gt;0,ISNUMBER(J290)),ROUND(Z290*J290/I290,2),"")</f>
        <v>4.54</v>
      </c>
      <c r="AB290" t="s">
        <v>42</v>
      </c>
      <c r="AC290" t="s">
        <v>43</v>
      </c>
      <c r="AD290" t="s">
        <v>44</v>
      </c>
      <c r="AE290" t="s">
        <v>45</v>
      </c>
    </row>
    <row r="291">
      <c r="A291">
        <v>806025</v>
      </c>
      <c r="B291">
        <v>806025</v>
      </c>
      <c r="C291" t="s">
        <v>599</v>
      </c>
      <c r="D291" t="s">
        <v>595</v>
      </c>
      <c r="E291" t="s">
        <v>96</v>
      </c>
      <c r="F291" s="1">
        <v>3</v>
      </c>
      <c r="G291" s="2">
        <v>0.4</v>
      </c>
      <c r="H291" s="2">
        <v>0.512</v>
      </c>
      <c r="I291" s="1">
        <v>4.2</v>
      </c>
      <c r="J291" s="1">
        <f>IF(AND(ISNUMBER(F291),ISNUMBER(H291)),ROUND(F291*(1+H291),2),"")</f>
        <v>4.54</v>
      </c>
      <c r="K291" s="2">
        <f>IF(AND(ISNUMBER(I291),I291&gt;0,ISNUMBER(J291)),J291/I291-1,"")</f>
        <v>0.08095238095238089</v>
      </c>
      <c r="L291" t="s">
        <v>38</v>
      </c>
      <c r="N291" s="1" t="s">
        <f>IF(AND(ISNUMBER(U291),U291&gt;0,ISNUMBER(J291)),ROUND(J291/U291,2),"")</f>
        <v>39</v>
      </c>
      <c r="Q291" t="s">
        <v>40</v>
      </c>
      <c r="R291" t="s">
        <v>39</v>
      </c>
      <c r="S291">
        <v>527087</v>
      </c>
      <c r="T291">
        <v>527087</v>
      </c>
      <c r="V291" s="1">
        <v>3</v>
      </c>
      <c r="W291" s="1">
        <v>3.24</v>
      </c>
      <c r="X291" t="s">
        <v>250</v>
      </c>
      <c r="Y291" t="s">
        <v>600</v>
      </c>
      <c r="Z291" s="1">
        <v>4.2</v>
      </c>
      <c r="AA291" s="1">
        <f>IF(AND(ISNUMBER(Z291),ISNUMBER(I291),I291&gt;0,ISNUMBER(J291)),ROUND(Z291*J291/I291,2),"")</f>
        <v>4.54</v>
      </c>
      <c r="AB291" t="s">
        <v>42</v>
      </c>
      <c r="AC291" t="s">
        <v>242</v>
      </c>
      <c r="AD291" t="s">
        <v>44</v>
      </c>
      <c r="AE291" t="s">
        <v>45</v>
      </c>
    </row>
    <row r="292">
      <c r="A292">
        <v>806028</v>
      </c>
      <c r="B292">
        <v>806028</v>
      </c>
      <c r="C292" t="s">
        <v>601</v>
      </c>
      <c r="D292" t="s">
        <v>595</v>
      </c>
      <c r="E292" t="s">
        <v>96</v>
      </c>
      <c r="F292" s="1">
        <v>6</v>
      </c>
      <c r="G292" s="2">
        <v>0.4</v>
      </c>
      <c r="H292" s="2">
        <v>0.512</v>
      </c>
      <c r="I292" s="1">
        <v>8.4</v>
      </c>
      <c r="J292" s="1">
        <f>IF(AND(ISNUMBER(F292),ISNUMBER(H292)),ROUND(F292*(1+H292),2),"")</f>
        <v>9.07</v>
      </c>
      <c r="K292" s="2">
        <f>IF(AND(ISNUMBER(I292),I292&gt;0,ISNUMBER(J292)),J292/I292-1,"")</f>
        <v>0.0797619047619047</v>
      </c>
      <c r="L292" t="s">
        <v>38</v>
      </c>
      <c r="N292" s="1" t="s">
        <f>IF(AND(ISNUMBER(U292),U292&gt;0,ISNUMBER(J292)),ROUND(J292/U292,2),"")</f>
        <v>39</v>
      </c>
      <c r="Q292" t="s">
        <v>40</v>
      </c>
      <c r="R292" t="s">
        <v>39</v>
      </c>
      <c r="S292">
        <v>527090</v>
      </c>
      <c r="T292">
        <v>527090</v>
      </c>
      <c r="X292" t="s">
        <v>41</v>
      </c>
      <c r="Z292" s="1">
        <v>8.4</v>
      </c>
      <c r="AA292" s="1">
        <f>IF(AND(ISNUMBER(Z292),ISNUMBER(I292),I292&gt;0,ISNUMBER(J292)),ROUND(Z292*J292/I292,2),"")</f>
        <v>9.07</v>
      </c>
      <c r="AB292" t="s">
        <v>42</v>
      </c>
      <c r="AC292" t="s">
        <v>43</v>
      </c>
      <c r="AD292" t="s">
        <v>44</v>
      </c>
      <c r="AE292" t="s">
        <v>45</v>
      </c>
    </row>
    <row r="293">
      <c r="A293">
        <v>806030</v>
      </c>
      <c r="B293">
        <v>806030</v>
      </c>
      <c r="C293" t="s">
        <v>602</v>
      </c>
      <c r="D293" t="s">
        <v>595</v>
      </c>
      <c r="E293" t="s">
        <v>96</v>
      </c>
      <c r="F293" s="1">
        <v>2.5</v>
      </c>
      <c r="G293" s="2">
        <v>0.4</v>
      </c>
      <c r="H293" s="2">
        <v>0.512</v>
      </c>
      <c r="I293" s="1">
        <v>3.5</v>
      </c>
      <c r="J293" s="1">
        <f>IF(AND(ISNUMBER(F293),ISNUMBER(H293)),ROUND(F293*(1+H293),2),"")</f>
        <v>3.78</v>
      </c>
      <c r="K293" s="2">
        <f>IF(AND(ISNUMBER(I293),I293&gt;0,ISNUMBER(J293)),J293/I293-1,"")</f>
        <v>0.07999999999999985</v>
      </c>
      <c r="L293" t="s">
        <v>38</v>
      </c>
      <c r="N293" s="1" t="s">
        <f>IF(AND(ISNUMBER(U293),U293&gt;0,ISNUMBER(J293)),ROUND(J293/U293,2),"")</f>
        <v>39</v>
      </c>
      <c r="Q293" t="s">
        <v>40</v>
      </c>
      <c r="R293" t="s">
        <v>39</v>
      </c>
      <c r="S293">
        <v>527092</v>
      </c>
      <c r="T293">
        <v>527092</v>
      </c>
      <c r="V293" s="1">
        <v>2.5</v>
      </c>
      <c r="W293" s="1">
        <v>2.7</v>
      </c>
      <c r="X293" t="s">
        <v>250</v>
      </c>
      <c r="Y293" t="s">
        <v>603</v>
      </c>
      <c r="Z293" s="1">
        <v>3.5</v>
      </c>
      <c r="AA293" s="1">
        <f>IF(AND(ISNUMBER(Z293),ISNUMBER(I293),I293&gt;0,ISNUMBER(J293)),ROUND(Z293*J293/I293,2),"")</f>
        <v>3.78</v>
      </c>
      <c r="AB293" t="s">
        <v>42</v>
      </c>
      <c r="AC293" t="s">
        <v>242</v>
      </c>
      <c r="AD293" t="s">
        <v>44</v>
      </c>
      <c r="AE293" t="s">
        <v>45</v>
      </c>
    </row>
    <row r="294">
      <c r="A294">
        <v>806032</v>
      </c>
      <c r="B294">
        <v>806032</v>
      </c>
      <c r="C294" t="s">
        <v>604</v>
      </c>
      <c r="D294" t="s">
        <v>595</v>
      </c>
      <c r="E294" t="s">
        <v>605</v>
      </c>
      <c r="F294" s="1">
        <v>6.25</v>
      </c>
      <c r="G294" s="2">
        <v>0.4</v>
      </c>
      <c r="H294" s="2">
        <v>0.512</v>
      </c>
      <c r="I294" s="1">
        <v>8.75</v>
      </c>
      <c r="J294" s="1">
        <f>IF(AND(ISNUMBER(F294),ISNUMBER(H294)),ROUND(F294*(1+H294),2),"")</f>
        <v>9.45</v>
      </c>
      <c r="K294" s="2">
        <f>IF(AND(ISNUMBER(I294),I294&gt;0,ISNUMBER(J294)),J294/I294-1,"")</f>
        <v>0.07999999999999985</v>
      </c>
      <c r="L294" t="s">
        <v>38</v>
      </c>
      <c r="N294" s="1" t="s">
        <f>IF(AND(ISNUMBER(U294),U294&gt;0,ISNUMBER(J294)),ROUND(J294/U294,2),"")</f>
        <v>39</v>
      </c>
      <c r="Q294" t="s">
        <v>40</v>
      </c>
      <c r="R294" t="s">
        <v>39</v>
      </c>
      <c r="S294">
        <v>527094</v>
      </c>
      <c r="T294">
        <v>527094</v>
      </c>
      <c r="X294" t="s">
        <v>41</v>
      </c>
      <c r="Z294" s="1">
        <v>8.75</v>
      </c>
      <c r="AA294" s="1">
        <f>IF(AND(ISNUMBER(Z294),ISNUMBER(I294),I294&gt;0,ISNUMBER(J294)),ROUND(Z294*J294/I294,2),"")</f>
        <v>9.45</v>
      </c>
      <c r="AB294" t="s">
        <v>42</v>
      </c>
      <c r="AC294" t="s">
        <v>43</v>
      </c>
      <c r="AD294" t="s">
        <v>44</v>
      </c>
      <c r="AE294" t="s">
        <v>45</v>
      </c>
    </row>
    <row r="295">
      <c r="A295">
        <v>806035</v>
      </c>
      <c r="B295">
        <v>806035</v>
      </c>
      <c r="C295" t="s">
        <v>606</v>
      </c>
      <c r="D295" t="s">
        <v>595</v>
      </c>
      <c r="E295" t="s">
        <v>596</v>
      </c>
      <c r="F295" s="1">
        <v>8</v>
      </c>
      <c r="G295" s="2">
        <v>0.4</v>
      </c>
      <c r="H295" s="2">
        <v>0.512</v>
      </c>
      <c r="I295" s="1">
        <v>11.2</v>
      </c>
      <c r="J295" s="1">
        <f>IF(AND(ISNUMBER(F295),ISNUMBER(H295)),ROUND(F295*(1+H295),2),"")</f>
        <v>12.1</v>
      </c>
      <c r="K295" s="2">
        <f>IF(AND(ISNUMBER(I295),I295&gt;0,ISNUMBER(J295)),J295/I295-1,"")</f>
        <v>0.0803571428571428</v>
      </c>
      <c r="L295" t="s">
        <v>38</v>
      </c>
      <c r="N295" s="1" t="s">
        <f>IF(AND(ISNUMBER(U295),U295&gt;0,ISNUMBER(J295)),ROUND(J295/U295,2),"")</f>
        <v>39</v>
      </c>
      <c r="Q295" t="s">
        <v>40</v>
      </c>
      <c r="R295" t="s">
        <v>39</v>
      </c>
      <c r="S295">
        <v>527097</v>
      </c>
      <c r="T295">
        <v>527097</v>
      </c>
      <c r="X295" t="s">
        <v>41</v>
      </c>
      <c r="Z295" s="1">
        <v>11.2</v>
      </c>
      <c r="AA295" s="1">
        <f>IF(AND(ISNUMBER(Z295),ISNUMBER(I295),I295&gt;0,ISNUMBER(J295)),ROUND(Z295*J295/I295,2),"")</f>
        <v>12.1</v>
      </c>
      <c r="AB295" t="s">
        <v>42</v>
      </c>
      <c r="AC295" t="s">
        <v>43</v>
      </c>
      <c r="AD295" t="s">
        <v>44</v>
      </c>
      <c r="AE295" t="s">
        <v>45</v>
      </c>
    </row>
    <row r="296">
      <c r="A296">
        <v>806038</v>
      </c>
      <c r="B296">
        <v>806038</v>
      </c>
      <c r="C296" t="s">
        <v>607</v>
      </c>
      <c r="D296" t="s">
        <v>595</v>
      </c>
      <c r="E296" t="s">
        <v>96</v>
      </c>
      <c r="F296" s="1">
        <v>2.35</v>
      </c>
      <c r="G296" s="2">
        <v>0.4</v>
      </c>
      <c r="H296" s="2">
        <v>0.512</v>
      </c>
      <c r="I296" s="1">
        <v>3.29</v>
      </c>
      <c r="J296" s="1">
        <f>IF(AND(ISNUMBER(F296),ISNUMBER(H296)),ROUND(F296*(1+H296),2),"")</f>
        <v>3.55</v>
      </c>
      <c r="K296" s="2">
        <f>IF(AND(ISNUMBER(I296),I296&gt;0,ISNUMBER(J296)),J296/I296-1,"")</f>
        <v>0.07902735562310026</v>
      </c>
      <c r="L296" t="s">
        <v>38</v>
      </c>
      <c r="N296" s="1" t="s">
        <f>IF(AND(ISNUMBER(U296),U296&gt;0,ISNUMBER(J296)),ROUND(J296/U296,2),"")</f>
        <v>39</v>
      </c>
      <c r="Q296" t="s">
        <v>40</v>
      </c>
      <c r="R296" t="s">
        <v>39</v>
      </c>
      <c r="S296">
        <v>527100</v>
      </c>
      <c r="T296">
        <v>527100</v>
      </c>
      <c r="V296" s="1">
        <v>2.35</v>
      </c>
      <c r="W296" s="1">
        <v>2.54</v>
      </c>
      <c r="X296" t="s">
        <v>250</v>
      </c>
      <c r="Y296" t="s">
        <v>608</v>
      </c>
      <c r="Z296" s="1">
        <v>3.29</v>
      </c>
      <c r="AA296" s="1">
        <f>IF(AND(ISNUMBER(Z296),ISNUMBER(I296),I296&gt;0,ISNUMBER(J296)),ROUND(Z296*J296/I296,2),"")</f>
        <v>3.55</v>
      </c>
      <c r="AB296" t="s">
        <v>42</v>
      </c>
      <c r="AC296" t="s">
        <v>242</v>
      </c>
      <c r="AD296" t="s">
        <v>44</v>
      </c>
      <c r="AE296" t="s">
        <v>45</v>
      </c>
    </row>
    <row r="297">
      <c r="A297">
        <v>806041</v>
      </c>
      <c r="B297">
        <v>806041</v>
      </c>
      <c r="C297" t="s">
        <v>609</v>
      </c>
      <c r="D297" t="s">
        <v>595</v>
      </c>
      <c r="E297" t="s">
        <v>596</v>
      </c>
      <c r="F297" s="1">
        <v>6</v>
      </c>
      <c r="G297" s="2">
        <v>0.4</v>
      </c>
      <c r="H297" s="2">
        <v>0.512</v>
      </c>
      <c r="I297" s="1">
        <v>8.4</v>
      </c>
      <c r="J297" s="1">
        <f>IF(AND(ISNUMBER(F297),ISNUMBER(H297)),ROUND(F297*(1+H297),2),"")</f>
        <v>9.07</v>
      </c>
      <c r="K297" s="2">
        <f>IF(AND(ISNUMBER(I297),I297&gt;0,ISNUMBER(J297)),J297/I297-1,"")</f>
        <v>0.0797619047619047</v>
      </c>
      <c r="L297" t="s">
        <v>38</v>
      </c>
      <c r="N297" s="1" t="s">
        <f>IF(AND(ISNUMBER(U297),U297&gt;0,ISNUMBER(J297)),ROUND(J297/U297,2),"")</f>
        <v>39</v>
      </c>
      <c r="Q297" t="s">
        <v>40</v>
      </c>
      <c r="R297" t="s">
        <v>39</v>
      </c>
      <c r="S297">
        <v>527105</v>
      </c>
      <c r="T297">
        <v>527105</v>
      </c>
      <c r="X297" t="s">
        <v>41</v>
      </c>
      <c r="Z297" s="1">
        <v>8.4</v>
      </c>
      <c r="AA297" s="1">
        <f>IF(AND(ISNUMBER(Z297),ISNUMBER(I297),I297&gt;0,ISNUMBER(J297)),ROUND(Z297*J297/I297,2),"")</f>
        <v>9.07</v>
      </c>
      <c r="AB297" t="s">
        <v>42</v>
      </c>
      <c r="AC297" t="s">
        <v>43</v>
      </c>
      <c r="AD297" t="s">
        <v>44</v>
      </c>
      <c r="AE297" t="s">
        <v>45</v>
      </c>
    </row>
    <row r="298">
      <c r="A298">
        <v>806044</v>
      </c>
      <c r="B298">
        <v>806044</v>
      </c>
      <c r="C298" t="s">
        <v>610</v>
      </c>
      <c r="D298" t="s">
        <v>595</v>
      </c>
      <c r="E298" t="s">
        <v>96</v>
      </c>
      <c r="F298" s="1">
        <v>5.25</v>
      </c>
      <c r="G298" s="2">
        <v>0.4</v>
      </c>
      <c r="H298" s="2">
        <v>0.512</v>
      </c>
      <c r="I298" s="1">
        <v>7.35</v>
      </c>
      <c r="J298" s="1">
        <f>IF(AND(ISNUMBER(F298),ISNUMBER(H298)),ROUND(F298*(1+H298),2),"")</f>
        <v>7.94</v>
      </c>
      <c r="K298" s="2">
        <f>IF(AND(ISNUMBER(I298),I298&gt;0,ISNUMBER(J298)),J298/I298-1,"")</f>
        <v>0.08027210884353742</v>
      </c>
      <c r="L298" t="s">
        <v>38</v>
      </c>
      <c r="N298" s="1" t="s">
        <f>IF(AND(ISNUMBER(U298),U298&gt;0,ISNUMBER(J298)),ROUND(J298/U298,2),"")</f>
        <v>39</v>
      </c>
      <c r="Q298" t="s">
        <v>40</v>
      </c>
      <c r="R298" t="s">
        <v>39</v>
      </c>
      <c r="S298">
        <v>527108</v>
      </c>
      <c r="T298">
        <v>527108</v>
      </c>
      <c r="X298" t="s">
        <v>41</v>
      </c>
      <c r="Z298" s="1">
        <v>7.35</v>
      </c>
      <c r="AA298" s="1">
        <f>IF(AND(ISNUMBER(Z298),ISNUMBER(I298),I298&gt;0,ISNUMBER(J298)),ROUND(Z298*J298/I298,2),"")</f>
        <v>7.94</v>
      </c>
      <c r="AB298" t="s">
        <v>42</v>
      </c>
      <c r="AC298" t="s">
        <v>43</v>
      </c>
      <c r="AD298" t="s">
        <v>44</v>
      </c>
      <c r="AE298" t="s">
        <v>45</v>
      </c>
    </row>
    <row r="299">
      <c r="A299">
        <v>806046</v>
      </c>
      <c r="B299">
        <v>806046</v>
      </c>
      <c r="C299" t="s">
        <v>611</v>
      </c>
      <c r="D299" t="s">
        <v>595</v>
      </c>
      <c r="E299" t="s">
        <v>612</v>
      </c>
      <c r="F299" s="1">
        <v>5.75</v>
      </c>
      <c r="G299" s="2">
        <v>0.4</v>
      </c>
      <c r="H299" s="2">
        <v>0.512</v>
      </c>
      <c r="I299" s="1">
        <v>8.05</v>
      </c>
      <c r="J299" s="1">
        <f>IF(AND(ISNUMBER(F299),ISNUMBER(H299)),ROUND(F299*(1+H299),2),"")</f>
        <v>8.69</v>
      </c>
      <c r="K299" s="2">
        <f>IF(AND(ISNUMBER(I299),I299&gt;0,ISNUMBER(J299)),J299/I299-1,"")</f>
        <v>0.0795031055900619</v>
      </c>
      <c r="L299" t="s">
        <v>38</v>
      </c>
      <c r="N299" s="1" t="s">
        <f>IF(AND(ISNUMBER(U299),U299&gt;0,ISNUMBER(J299)),ROUND(J299/U299,2),"")</f>
        <v>39</v>
      </c>
      <c r="Q299" t="s">
        <v>40</v>
      </c>
      <c r="R299" t="s">
        <v>39</v>
      </c>
      <c r="S299">
        <v>527110</v>
      </c>
      <c r="T299">
        <v>527110</v>
      </c>
      <c r="X299" t="s">
        <v>41</v>
      </c>
      <c r="Z299" s="1">
        <v>8.05</v>
      </c>
      <c r="AA299" s="1">
        <f>IF(AND(ISNUMBER(Z299),ISNUMBER(I299),I299&gt;0,ISNUMBER(J299)),ROUND(Z299*J299/I299,2),"")</f>
        <v>8.69</v>
      </c>
      <c r="AB299" t="s">
        <v>42</v>
      </c>
      <c r="AC299" t="s">
        <v>43</v>
      </c>
      <c r="AD299" t="s">
        <v>44</v>
      </c>
      <c r="AE299" t="s">
        <v>45</v>
      </c>
    </row>
    <row r="300">
      <c r="A300">
        <v>806048</v>
      </c>
      <c r="B300">
        <v>806048</v>
      </c>
      <c r="C300" t="s">
        <v>613</v>
      </c>
      <c r="D300" t="s">
        <v>595</v>
      </c>
      <c r="E300" t="s">
        <v>96</v>
      </c>
      <c r="F300" s="1">
        <v>5</v>
      </c>
      <c r="G300" s="2">
        <v>0.4</v>
      </c>
      <c r="H300" s="2">
        <v>0.512</v>
      </c>
      <c r="I300" s="1">
        <v>7</v>
      </c>
      <c r="J300" s="1">
        <f>IF(AND(ISNUMBER(F300),ISNUMBER(H300)),ROUND(F300*(1+H300),2),"")</f>
        <v>7.56</v>
      </c>
      <c r="K300" s="2">
        <f>IF(AND(ISNUMBER(I300),I300&gt;0,ISNUMBER(J300)),J300/I300-1,"")</f>
        <v>0.07999999999999985</v>
      </c>
      <c r="L300" t="s">
        <v>38</v>
      </c>
      <c r="N300" s="1" t="s">
        <f>IF(AND(ISNUMBER(U300),U300&gt;0,ISNUMBER(J300)),ROUND(J300/U300,2),"")</f>
        <v>39</v>
      </c>
      <c r="Q300" t="s">
        <v>40</v>
      </c>
      <c r="R300" t="s">
        <v>39</v>
      </c>
      <c r="S300">
        <v>527112</v>
      </c>
      <c r="T300">
        <v>527112</v>
      </c>
      <c r="X300" t="s">
        <v>41</v>
      </c>
      <c r="Z300" s="1">
        <v>7</v>
      </c>
      <c r="AA300" s="1">
        <f>IF(AND(ISNUMBER(Z300),ISNUMBER(I300),I300&gt;0,ISNUMBER(J300)),ROUND(Z300*J300/I300,2),"")</f>
        <v>7.56</v>
      </c>
      <c r="AB300" t="s">
        <v>42</v>
      </c>
      <c r="AC300" t="s">
        <v>43</v>
      </c>
      <c r="AD300" t="s">
        <v>44</v>
      </c>
      <c r="AE300" t="s">
        <v>45</v>
      </c>
    </row>
    <row r="301">
      <c r="A301">
        <v>806055</v>
      </c>
      <c r="B301">
        <v>806055</v>
      </c>
      <c r="C301" t="s">
        <v>614</v>
      </c>
      <c r="D301" t="s">
        <v>595</v>
      </c>
      <c r="E301" t="s">
        <v>96</v>
      </c>
      <c r="F301" s="1">
        <v>5</v>
      </c>
      <c r="G301" s="2">
        <v>0.4</v>
      </c>
      <c r="H301" s="2">
        <v>0.512</v>
      </c>
      <c r="I301" s="1">
        <v>7</v>
      </c>
      <c r="J301" s="1">
        <f>IF(AND(ISNUMBER(F301),ISNUMBER(H301)),ROUND(F301*(1+H301),2),"")</f>
        <v>7.56</v>
      </c>
      <c r="K301" s="2">
        <f>IF(AND(ISNUMBER(I301),I301&gt;0,ISNUMBER(J301)),J301/I301-1,"")</f>
        <v>0.07999999999999985</v>
      </c>
      <c r="L301" t="s">
        <v>38</v>
      </c>
      <c r="N301" s="1" t="s">
        <f>IF(AND(ISNUMBER(U301),U301&gt;0,ISNUMBER(J301)),ROUND(J301/U301,2),"")</f>
        <v>39</v>
      </c>
      <c r="Q301" t="s">
        <v>40</v>
      </c>
      <c r="R301" t="s">
        <v>39</v>
      </c>
      <c r="S301">
        <v>527119</v>
      </c>
      <c r="T301">
        <v>527119</v>
      </c>
      <c r="X301" t="s">
        <v>41</v>
      </c>
      <c r="Z301" s="1">
        <v>7</v>
      </c>
      <c r="AA301" s="1">
        <f>IF(AND(ISNUMBER(Z301),ISNUMBER(I301),I301&gt;0,ISNUMBER(J301)),ROUND(Z301*J301/I301,2),"")</f>
        <v>7.56</v>
      </c>
      <c r="AB301" t="s">
        <v>42</v>
      </c>
      <c r="AC301" t="s">
        <v>43</v>
      </c>
      <c r="AD301" t="s">
        <v>44</v>
      </c>
      <c r="AE301" t="s">
        <v>45</v>
      </c>
    </row>
    <row r="302">
      <c r="A302">
        <v>806057</v>
      </c>
      <c r="B302">
        <v>806057</v>
      </c>
      <c r="C302" t="s">
        <v>615</v>
      </c>
      <c r="D302" t="s">
        <v>595</v>
      </c>
      <c r="E302" t="s">
        <v>616</v>
      </c>
      <c r="F302" s="1">
        <v>17</v>
      </c>
      <c r="G302" s="2">
        <v>0.4</v>
      </c>
      <c r="H302" s="2">
        <v>0.512</v>
      </c>
      <c r="I302" s="1">
        <v>23.8</v>
      </c>
      <c r="J302" s="1">
        <f>IF(AND(ISNUMBER(F302),ISNUMBER(H302)),ROUND(F302*(1+H302),2),"")</f>
        <v>25.7</v>
      </c>
      <c r="K302" s="2">
        <f>IF(AND(ISNUMBER(I302),I302&gt;0,ISNUMBER(J302)),J302/I302-1,"")</f>
        <v>0.07983193277310918</v>
      </c>
      <c r="L302" t="s">
        <v>38</v>
      </c>
      <c r="N302" s="1" t="s">
        <f>IF(AND(ISNUMBER(U302),U302&gt;0,ISNUMBER(J302)),ROUND(J302/U302,2),"")</f>
        <v>39</v>
      </c>
      <c r="Q302" t="s">
        <v>40</v>
      </c>
      <c r="R302" t="s">
        <v>39</v>
      </c>
      <c r="S302">
        <v>527121</v>
      </c>
      <c r="T302">
        <v>527121</v>
      </c>
      <c r="X302" t="s">
        <v>41</v>
      </c>
      <c r="Z302" s="1">
        <v>23.8</v>
      </c>
      <c r="AA302" s="1">
        <f>IF(AND(ISNUMBER(Z302),ISNUMBER(I302),I302&gt;0,ISNUMBER(J302)),ROUND(Z302*J302/I302,2),"")</f>
        <v>25.7</v>
      </c>
      <c r="AB302" t="s">
        <v>42</v>
      </c>
      <c r="AC302" t="s">
        <v>43</v>
      </c>
      <c r="AD302" t="s">
        <v>44</v>
      </c>
      <c r="AE302" t="s">
        <v>45</v>
      </c>
    </row>
    <row r="303">
      <c r="A303">
        <v>806060</v>
      </c>
      <c r="B303">
        <v>806060</v>
      </c>
      <c r="C303" t="s">
        <v>617</v>
      </c>
      <c r="D303" t="s">
        <v>595</v>
      </c>
      <c r="E303" t="s">
        <v>618</v>
      </c>
      <c r="F303" s="1">
        <v>4.75</v>
      </c>
      <c r="G303" s="2">
        <v>0.4</v>
      </c>
      <c r="H303" s="2">
        <v>0.512</v>
      </c>
      <c r="I303" s="1">
        <v>6.65</v>
      </c>
      <c r="J303" s="1">
        <f>IF(AND(ISNUMBER(F303),ISNUMBER(H303)),ROUND(F303*(1+H303),2),"")</f>
        <v>7.18</v>
      </c>
      <c r="K303" s="2">
        <f>IF(AND(ISNUMBER(I303),I303&gt;0,ISNUMBER(J303)),J303/I303-1,"")</f>
        <v>0.07969924812030071</v>
      </c>
      <c r="L303" t="s">
        <v>38</v>
      </c>
      <c r="M303" s="1">
        <v>4.84</v>
      </c>
      <c r="N303" s="1">
        <f>IF(AND(ISNUMBER(U303),U303&gt;0,ISNUMBER(J303)),ROUND(J303/U303,2),"")</f>
        <v>5.22</v>
      </c>
      <c r="Q303" t="s">
        <v>40</v>
      </c>
      <c r="R303" t="s">
        <v>39</v>
      </c>
      <c r="S303">
        <v>527123</v>
      </c>
      <c r="T303">
        <v>527123</v>
      </c>
      <c r="U303" s="3">
        <v>1.375</v>
      </c>
      <c r="X303" t="s">
        <v>41</v>
      </c>
      <c r="Z303" s="1">
        <v>6.65</v>
      </c>
      <c r="AA303" s="1">
        <f>IF(AND(ISNUMBER(Z303),ISNUMBER(I303),I303&gt;0,ISNUMBER(J303)),ROUND(Z303*J303/I303,2),"")</f>
        <v>7.18</v>
      </c>
      <c r="AB303" t="s">
        <v>42</v>
      </c>
      <c r="AC303" t="s">
        <v>43</v>
      </c>
      <c r="AD303" t="s">
        <v>44</v>
      </c>
      <c r="AE303" t="s">
        <v>45</v>
      </c>
    </row>
    <row r="304">
      <c r="A304">
        <v>806062</v>
      </c>
      <c r="B304">
        <v>806062</v>
      </c>
      <c r="C304" t="s">
        <v>619</v>
      </c>
      <c r="D304" t="s">
        <v>595</v>
      </c>
      <c r="E304" t="s">
        <v>96</v>
      </c>
      <c r="F304" s="1">
        <v>7</v>
      </c>
      <c r="G304" s="2">
        <v>0.4</v>
      </c>
      <c r="H304" s="2">
        <v>0.512</v>
      </c>
      <c r="I304" s="1">
        <v>9.8</v>
      </c>
      <c r="J304" s="1">
        <f>IF(AND(ISNUMBER(F304),ISNUMBER(H304)),ROUND(F304*(1+H304),2),"")</f>
        <v>10.58</v>
      </c>
      <c r="K304" s="2">
        <f>IF(AND(ISNUMBER(I304),I304&gt;0,ISNUMBER(J304)),J304/I304-1,"")</f>
        <v>0.07959183673469372</v>
      </c>
      <c r="L304" t="s">
        <v>38</v>
      </c>
      <c r="N304" s="1" t="s">
        <f>IF(AND(ISNUMBER(U304),U304&gt;0,ISNUMBER(J304)),ROUND(J304/U304,2),"")</f>
        <v>39</v>
      </c>
      <c r="Q304" t="s">
        <v>40</v>
      </c>
      <c r="R304" t="s">
        <v>39</v>
      </c>
      <c r="S304">
        <v>527126</v>
      </c>
      <c r="T304">
        <v>527126</v>
      </c>
      <c r="X304" t="s">
        <v>41</v>
      </c>
      <c r="Z304" s="1">
        <v>9.8</v>
      </c>
      <c r="AA304" s="1">
        <f>IF(AND(ISNUMBER(Z304),ISNUMBER(I304),I304&gt;0,ISNUMBER(J304)),ROUND(Z304*J304/I304,2),"")</f>
        <v>10.58</v>
      </c>
      <c r="AB304" t="s">
        <v>42</v>
      </c>
      <c r="AC304" t="s">
        <v>43</v>
      </c>
      <c r="AD304" t="s">
        <v>44</v>
      </c>
      <c r="AE304" t="s">
        <v>45</v>
      </c>
    </row>
    <row r="305">
      <c r="A305">
        <v>806065</v>
      </c>
      <c r="B305">
        <v>806065</v>
      </c>
      <c r="C305" t="s">
        <v>620</v>
      </c>
      <c r="D305" t="s">
        <v>595</v>
      </c>
      <c r="E305" t="s">
        <v>96</v>
      </c>
      <c r="F305" s="1">
        <v>2.5</v>
      </c>
      <c r="G305" s="2">
        <v>0.4</v>
      </c>
      <c r="H305" s="2">
        <v>0.512</v>
      </c>
      <c r="I305" s="1">
        <v>3.5</v>
      </c>
      <c r="J305" s="1">
        <f>IF(AND(ISNUMBER(F305),ISNUMBER(H305)),ROUND(F305*(1+H305),2),"")</f>
        <v>3.78</v>
      </c>
      <c r="K305" s="2">
        <f>IF(AND(ISNUMBER(I305),I305&gt;0,ISNUMBER(J305)),J305/I305-1,"")</f>
        <v>0.07999999999999985</v>
      </c>
      <c r="L305" t="s">
        <v>38</v>
      </c>
      <c r="N305" s="1" t="s">
        <f>IF(AND(ISNUMBER(U305),U305&gt;0,ISNUMBER(J305)),ROUND(J305/U305,2),"")</f>
        <v>39</v>
      </c>
      <c r="Q305" t="s">
        <v>40</v>
      </c>
      <c r="R305" t="s">
        <v>39</v>
      </c>
      <c r="S305">
        <v>527128</v>
      </c>
      <c r="T305">
        <v>527128</v>
      </c>
      <c r="X305" t="s">
        <v>41</v>
      </c>
      <c r="Z305" s="1">
        <v>3.5</v>
      </c>
      <c r="AA305" s="1">
        <f>IF(AND(ISNUMBER(Z305),ISNUMBER(I305),I305&gt;0,ISNUMBER(J305)),ROUND(Z305*J305/I305,2),"")</f>
        <v>3.78</v>
      </c>
      <c r="AB305" t="s">
        <v>42</v>
      </c>
      <c r="AC305" t="s">
        <v>43</v>
      </c>
      <c r="AD305" t="s">
        <v>44</v>
      </c>
      <c r="AE305" t="s">
        <v>45</v>
      </c>
    </row>
    <row r="306">
      <c r="A306">
        <v>806066</v>
      </c>
      <c r="B306">
        <v>806066</v>
      </c>
      <c r="C306" t="s">
        <v>621</v>
      </c>
      <c r="D306" t="s">
        <v>595</v>
      </c>
      <c r="E306" t="s">
        <v>96</v>
      </c>
      <c r="F306" s="1">
        <v>5</v>
      </c>
      <c r="G306" s="2">
        <v>0.4</v>
      </c>
      <c r="H306" s="2">
        <v>0.512</v>
      </c>
      <c r="I306" s="1">
        <v>7</v>
      </c>
      <c r="J306" s="1">
        <f>IF(AND(ISNUMBER(F306),ISNUMBER(H306)),ROUND(F306*(1+H306),2),"")</f>
        <v>7.56</v>
      </c>
      <c r="K306" s="2">
        <f>IF(AND(ISNUMBER(I306),I306&gt;0,ISNUMBER(J306)),J306/I306-1,"")</f>
        <v>0.07999999999999985</v>
      </c>
      <c r="L306" t="s">
        <v>38</v>
      </c>
      <c r="N306" s="1" t="s">
        <f>IF(AND(ISNUMBER(U306),U306&gt;0,ISNUMBER(J306)),ROUND(J306/U306,2),"")</f>
        <v>39</v>
      </c>
      <c r="Q306" t="s">
        <v>40</v>
      </c>
      <c r="R306" t="s">
        <v>39</v>
      </c>
      <c r="S306">
        <v>527130</v>
      </c>
      <c r="T306">
        <v>527130</v>
      </c>
      <c r="X306" t="s">
        <v>41</v>
      </c>
      <c r="Z306" s="1">
        <v>7</v>
      </c>
      <c r="AA306" s="1">
        <f>IF(AND(ISNUMBER(Z306),ISNUMBER(I306),I306&gt;0,ISNUMBER(J306)),ROUND(Z306*J306/I306,2),"")</f>
        <v>7.56</v>
      </c>
      <c r="AB306" t="s">
        <v>42</v>
      </c>
      <c r="AC306" t="s">
        <v>43</v>
      </c>
      <c r="AD306" t="s">
        <v>48</v>
      </c>
      <c r="AE306" t="s">
        <v>45</v>
      </c>
    </row>
    <row r="307">
      <c r="A307">
        <v>907016</v>
      </c>
      <c r="B307">
        <v>907016</v>
      </c>
      <c r="C307" t="s">
        <v>622</v>
      </c>
      <c r="D307" t="s">
        <v>623</v>
      </c>
      <c r="E307" t="s">
        <v>624</v>
      </c>
      <c r="F307" s="1">
        <v>12.7</v>
      </c>
      <c r="G307" s="2">
        <v>0.4</v>
      </c>
      <c r="H307" s="2">
        <v>0.512</v>
      </c>
      <c r="I307" s="1">
        <v>17.78</v>
      </c>
      <c r="J307" s="1">
        <f>IF(AND(ISNUMBER(F307),ISNUMBER(H307)),ROUND(F307*(1+H307),2),"")</f>
        <v>19.2</v>
      </c>
      <c r="K307" s="2">
        <f>IF(AND(ISNUMBER(I307),I307&gt;0,ISNUMBER(J307)),J307/I307-1,"")</f>
        <v>0.07986501687289072</v>
      </c>
      <c r="L307" t="s">
        <v>38</v>
      </c>
      <c r="M307" s="1">
        <v>23.71</v>
      </c>
      <c r="N307" s="1">
        <f>IF(AND(ISNUMBER(U307),U307&gt;0,ISNUMBER(J307)),ROUND(J307/U307,2),"")</f>
        <v>25.6</v>
      </c>
      <c r="Q307" t="s">
        <v>40</v>
      </c>
      <c r="R307" t="s">
        <v>39</v>
      </c>
      <c r="S307">
        <v>651217</v>
      </c>
      <c r="T307">
        <v>651217</v>
      </c>
      <c r="U307" s="3">
        <v>0.75</v>
      </c>
      <c r="X307" t="s">
        <v>41</v>
      </c>
      <c r="Z307" s="1">
        <v>17.78</v>
      </c>
      <c r="AA307" s="1">
        <f>IF(AND(ISNUMBER(Z307),ISNUMBER(I307),I307&gt;0,ISNUMBER(J307)),ROUND(Z307*J307/I307,2),"")</f>
        <v>19.2</v>
      </c>
      <c r="AB307" t="s">
        <v>42</v>
      </c>
      <c r="AC307" t="s">
        <v>43</v>
      </c>
      <c r="AD307" t="s">
        <v>44</v>
      </c>
      <c r="AE307" t="s">
        <v>45</v>
      </c>
    </row>
    <row r="308">
      <c r="A308">
        <v>806107</v>
      </c>
      <c r="B308">
        <v>806107</v>
      </c>
      <c r="C308" t="s">
        <v>625</v>
      </c>
      <c r="D308" t="s">
        <v>623</v>
      </c>
      <c r="E308" t="s">
        <v>626</v>
      </c>
      <c r="F308" s="1">
        <v>4.5</v>
      </c>
      <c r="G308" s="2">
        <v>0.4</v>
      </c>
      <c r="H308" s="2">
        <v>0.512</v>
      </c>
      <c r="I308" s="1">
        <v>6.3</v>
      </c>
      <c r="J308" s="1">
        <f>IF(AND(ISNUMBER(F308),ISNUMBER(H308)),ROUND(F308*(1+H308),2),"")</f>
        <v>6.8</v>
      </c>
      <c r="K308" s="2">
        <f>IF(AND(ISNUMBER(I308),I308&gt;0,ISNUMBER(J308)),J308/I308-1,"")</f>
        <v>0.0793650793650793</v>
      </c>
      <c r="L308" t="s">
        <v>38</v>
      </c>
      <c r="M308" s="1">
        <v>25.2</v>
      </c>
      <c r="N308" s="1">
        <f>IF(AND(ISNUMBER(U308),U308&gt;0,ISNUMBER(J308)),ROUND(J308/U308,2),"")</f>
        <v>27.2</v>
      </c>
      <c r="Q308" t="s">
        <v>40</v>
      </c>
      <c r="R308" t="s">
        <v>39</v>
      </c>
      <c r="S308">
        <v>527172</v>
      </c>
      <c r="T308">
        <v>527172</v>
      </c>
      <c r="U308" s="3">
        <v>0.25</v>
      </c>
      <c r="X308" t="s">
        <v>41</v>
      </c>
      <c r="Z308" s="1">
        <v>6.3</v>
      </c>
      <c r="AA308" s="1">
        <f>IF(AND(ISNUMBER(Z308),ISNUMBER(I308),I308&gt;0,ISNUMBER(J308)),ROUND(Z308*J308/I308,2),"")</f>
        <v>6.8</v>
      </c>
      <c r="AB308" t="s">
        <v>42</v>
      </c>
      <c r="AC308" t="s">
        <v>43</v>
      </c>
      <c r="AD308" t="s">
        <v>44</v>
      </c>
      <c r="AE308" t="s">
        <v>45</v>
      </c>
    </row>
    <row r="309">
      <c r="A309">
        <v>1016432</v>
      </c>
      <c r="B309">
        <v>1016432</v>
      </c>
      <c r="C309" t="s">
        <v>627</v>
      </c>
      <c r="D309" t="s">
        <v>628</v>
      </c>
      <c r="E309" t="s">
        <v>113</v>
      </c>
      <c r="F309" s="1">
        <v>1</v>
      </c>
      <c r="G309" s="2">
        <v>0.4</v>
      </c>
      <c r="H309" s="2">
        <v>0.512</v>
      </c>
      <c r="I309" s="1">
        <v>1.4</v>
      </c>
      <c r="J309" s="1">
        <f>IF(AND(ISNUMBER(F309),ISNUMBER(H309)),ROUND(F309*(1+H309),2),"")</f>
        <v>1.51</v>
      </c>
      <c r="K309" s="2">
        <f>IF(AND(ISNUMBER(I309),I309&gt;0,ISNUMBER(J309)),J309/I309-1,"")</f>
        <v>0.07857142857142874</v>
      </c>
      <c r="L309" t="s">
        <v>38</v>
      </c>
      <c r="M309" s="1">
        <v>1.4</v>
      </c>
      <c r="N309" s="1">
        <f>IF(AND(ISNUMBER(U309),U309&gt;0,ISNUMBER(J309)),ROUND(J309/U309,2),"")</f>
        <v>1.51</v>
      </c>
      <c r="Q309" t="s">
        <v>40</v>
      </c>
      <c r="R309" t="s">
        <v>39</v>
      </c>
      <c r="S309">
        <v>801261</v>
      </c>
      <c r="T309">
        <v>801261</v>
      </c>
      <c r="U309" s="3">
        <v>1</v>
      </c>
      <c r="X309" t="s">
        <v>41</v>
      </c>
      <c r="Z309" s="1">
        <v>1.4</v>
      </c>
      <c r="AA309" s="1">
        <f>IF(AND(ISNUMBER(Z309),ISNUMBER(I309),I309&gt;0,ISNUMBER(J309)),ROUND(Z309*J309/I309,2),"")</f>
        <v>1.51</v>
      </c>
      <c r="AB309" t="s">
        <v>42</v>
      </c>
      <c r="AC309" t="s">
        <v>43</v>
      </c>
      <c r="AD309" t="s">
        <v>44</v>
      </c>
      <c r="AE309" t="s">
        <v>45</v>
      </c>
    </row>
    <row r="310">
      <c r="A310">
        <v>821704</v>
      </c>
      <c r="B310">
        <v>821704</v>
      </c>
      <c r="C310" t="s">
        <v>629</v>
      </c>
      <c r="D310" t="s">
        <v>628</v>
      </c>
      <c r="E310" t="s">
        <v>630</v>
      </c>
      <c r="F310" s="1">
        <v>2.5</v>
      </c>
      <c r="G310" s="2">
        <v>0.4</v>
      </c>
      <c r="H310" s="2">
        <v>0.512</v>
      </c>
      <c r="I310" s="1">
        <v>3.5</v>
      </c>
      <c r="J310" s="1">
        <f>IF(AND(ISNUMBER(F310),ISNUMBER(H310)),ROUND(F310*(1+H310),2),"")</f>
        <v>3.78</v>
      </c>
      <c r="K310" s="2">
        <f>IF(AND(ISNUMBER(I310),I310&gt;0,ISNUMBER(J310)),J310/I310-1,"")</f>
        <v>0.07999999999999985</v>
      </c>
      <c r="L310" t="s">
        <v>38</v>
      </c>
      <c r="N310" s="1" t="s">
        <f>IF(AND(ISNUMBER(U310),U310&gt;0,ISNUMBER(J310)),ROUND(J310/U310,2),"")</f>
        <v>39</v>
      </c>
      <c r="Q310" t="s">
        <v>40</v>
      </c>
      <c r="R310" t="s">
        <v>39</v>
      </c>
      <c r="S310">
        <v>544783</v>
      </c>
      <c r="T310">
        <v>544783</v>
      </c>
      <c r="X310" t="s">
        <v>41</v>
      </c>
      <c r="Z310" s="1">
        <v>3.5</v>
      </c>
      <c r="AA310" s="1">
        <f>IF(AND(ISNUMBER(Z310),ISNUMBER(I310),I310&gt;0,ISNUMBER(J310)),ROUND(Z310*J310/I310,2),"")</f>
        <v>3.78</v>
      </c>
      <c r="AB310" t="s">
        <v>42</v>
      </c>
      <c r="AC310" t="s">
        <v>43</v>
      </c>
      <c r="AD310" t="s">
        <v>44</v>
      </c>
      <c r="AE310" t="s">
        <v>45</v>
      </c>
    </row>
    <row r="311">
      <c r="A311">
        <v>930691</v>
      </c>
      <c r="B311">
        <v>930691</v>
      </c>
      <c r="C311" t="s">
        <v>631</v>
      </c>
      <c r="D311" t="s">
        <v>628</v>
      </c>
      <c r="E311" t="s">
        <v>63</v>
      </c>
      <c r="F311" s="1">
        <v>6</v>
      </c>
      <c r="G311" s="2">
        <v>0.4</v>
      </c>
      <c r="H311" s="2">
        <v>0.512</v>
      </c>
      <c r="I311" s="1">
        <v>8.4</v>
      </c>
      <c r="J311" s="1">
        <f>IF(AND(ISNUMBER(F311),ISNUMBER(H311)),ROUND(F311*(1+H311),2),"")</f>
        <v>9.07</v>
      </c>
      <c r="K311" s="2">
        <f>IF(AND(ISNUMBER(I311),I311&gt;0,ISNUMBER(J311)),J311/I311-1,"")</f>
        <v>0.0797619047619047</v>
      </c>
      <c r="L311" t="s">
        <v>38</v>
      </c>
      <c r="N311" s="1" t="s">
        <f>IF(AND(ISNUMBER(U311),U311&gt;0,ISNUMBER(J311)),ROUND(J311/U311,2),"")</f>
        <v>39</v>
      </c>
      <c r="Q311" t="s">
        <v>40</v>
      </c>
      <c r="R311" t="s">
        <v>39</v>
      </c>
      <c r="S311">
        <v>679453</v>
      </c>
      <c r="T311">
        <v>679453</v>
      </c>
      <c r="X311" t="s">
        <v>41</v>
      </c>
      <c r="Z311" s="1">
        <v>8.4</v>
      </c>
      <c r="AA311" s="1">
        <f>IF(AND(ISNUMBER(Z311),ISNUMBER(I311),I311&gt;0,ISNUMBER(J311)),ROUND(Z311*J311/I311,2),"")</f>
        <v>9.07</v>
      </c>
      <c r="AB311" t="s">
        <v>42</v>
      </c>
      <c r="AC311" t="s">
        <v>43</v>
      </c>
      <c r="AD311" t="s">
        <v>48</v>
      </c>
      <c r="AE311" t="s">
        <v>45</v>
      </c>
    </row>
    <row r="312">
      <c r="A312">
        <v>1017951</v>
      </c>
      <c r="B312">
        <v>1017951</v>
      </c>
      <c r="C312" t="s">
        <v>632</v>
      </c>
      <c r="D312" t="s">
        <v>628</v>
      </c>
      <c r="E312" t="s">
        <v>633</v>
      </c>
      <c r="F312" s="1">
        <v>48.33</v>
      </c>
      <c r="G312" s="2">
        <v>0.55</v>
      </c>
      <c r="H312" s="2">
        <v>0.674</v>
      </c>
      <c r="I312" s="1">
        <v>74.91</v>
      </c>
      <c r="J312" s="1">
        <f>IF(AND(ISNUMBER(F312),ISNUMBER(H312)),ROUND(F312*(1+H312),2),"")</f>
        <v>80.9</v>
      </c>
      <c r="K312" s="2">
        <f>IF(AND(ISNUMBER(I312),I312&gt;0,ISNUMBER(J312)),J312/I312-1,"")</f>
        <v>0.0799626218128422</v>
      </c>
      <c r="L312" t="s">
        <v>38</v>
      </c>
      <c r="N312" s="1" t="s">
        <f>IF(AND(ISNUMBER(U312),U312&gt;0,ISNUMBER(J312)),ROUND(J312/U312,2),"")</f>
        <v>39</v>
      </c>
      <c r="Q312" t="s">
        <v>40</v>
      </c>
      <c r="R312" t="s">
        <v>39</v>
      </c>
      <c r="S312">
        <v>803362</v>
      </c>
      <c r="T312">
        <v>803362</v>
      </c>
      <c r="X312" t="s">
        <v>41</v>
      </c>
      <c r="Z312" s="1">
        <v>74.91</v>
      </c>
      <c r="AA312" s="1">
        <f>IF(AND(ISNUMBER(Z312),ISNUMBER(I312),I312&gt;0,ISNUMBER(J312)),ROUND(Z312*J312/I312,2),"")</f>
        <v>80.9</v>
      </c>
      <c r="AB312" t="s">
        <v>42</v>
      </c>
      <c r="AC312" t="s">
        <v>134</v>
      </c>
      <c r="AD312" t="s">
        <v>48</v>
      </c>
      <c r="AE312" t="s">
        <v>45</v>
      </c>
    </row>
    <row r="313">
      <c r="A313">
        <v>1017951</v>
      </c>
      <c r="B313">
        <v>1017951</v>
      </c>
      <c r="C313" t="s">
        <v>632</v>
      </c>
      <c r="D313" t="s">
        <v>628</v>
      </c>
      <c r="E313" t="s">
        <v>634</v>
      </c>
      <c r="F313" s="1">
        <v>48.33</v>
      </c>
      <c r="J313" s="1" t="s">
        <f>IF(AND(ISNUMBER(F313),ISNUMBER(H313)),ROUND(F313*(1+H313),2),"")</f>
        <v>39</v>
      </c>
      <c r="K313" s="2" t="s">
        <f>IF(AND(ISNUMBER(I313),I313&gt;0,ISNUMBER(J313)),J313/I313-1,"")</f>
        <v>39</v>
      </c>
      <c r="L313" t="s">
        <v>38</v>
      </c>
      <c r="N313" s="1" t="s">
        <f>IF(AND(ISNUMBER(U313),U313&gt;0,ISNUMBER(J313)),ROUND(J313/U313,2),"")</f>
        <v>39</v>
      </c>
      <c r="Q313" t="s">
        <v>166</v>
      </c>
      <c r="R313" t="s">
        <v>39</v>
      </c>
      <c r="S313">
        <v>949069</v>
      </c>
      <c r="T313">
        <v>949069</v>
      </c>
      <c r="X313" t="s">
        <v>41</v>
      </c>
      <c r="AA313" s="1" t="s">
        <f>IF(AND(ISNUMBER(Z313),ISNUMBER(I313),I313&gt;0,ISNUMBER(J313)),ROUND(Z313*J313/I313,2),"")</f>
        <v>39</v>
      </c>
      <c r="AB313" t="s">
        <v>167</v>
      </c>
      <c r="AC313" t="s">
        <v>168</v>
      </c>
      <c r="AD313" t="s">
        <v>48</v>
      </c>
      <c r="AE313" t="s">
        <v>45</v>
      </c>
    </row>
    <row r="314">
      <c r="A314">
        <v>1120977</v>
      </c>
      <c r="B314">
        <v>1120977</v>
      </c>
      <c r="C314" t="s">
        <v>632</v>
      </c>
      <c r="D314" t="s">
        <v>628</v>
      </c>
      <c r="E314" t="s">
        <v>634</v>
      </c>
      <c r="J314" s="1" t="s">
        <f>IF(AND(ISNUMBER(F314),ISNUMBER(H314)),ROUND(F314*(1+H314),2),"")</f>
        <v>39</v>
      </c>
      <c r="K314" s="2" t="s">
        <f>IF(AND(ISNUMBER(I314),I314&gt;0,ISNUMBER(J314)),J314/I314-1,"")</f>
        <v>39</v>
      </c>
      <c r="L314" t="s">
        <v>38</v>
      </c>
      <c r="N314" s="1" t="s">
        <f>IF(AND(ISNUMBER(U314),U314&gt;0,ISNUMBER(J314)),ROUND(J314/U314,2),"")</f>
        <v>39</v>
      </c>
      <c r="Q314" t="s">
        <v>166</v>
      </c>
      <c r="R314" t="s">
        <v>39</v>
      </c>
      <c r="X314" t="s">
        <v>41</v>
      </c>
      <c r="AA314" s="1" t="s">
        <f>IF(AND(ISNUMBER(Z314),ISNUMBER(I314),I314&gt;0,ISNUMBER(J314)),ROUND(Z314*J314/I314,2),"")</f>
        <v>39</v>
      </c>
      <c r="AB314" t="s">
        <v>167</v>
      </c>
      <c r="AC314" t="s">
        <v>635</v>
      </c>
      <c r="AD314" t="s">
        <v>48</v>
      </c>
      <c r="AE314" t="s">
        <v>45</v>
      </c>
    </row>
    <row r="315">
      <c r="A315">
        <v>805873</v>
      </c>
      <c r="B315">
        <v>805873</v>
      </c>
      <c r="C315" t="s">
        <v>636</v>
      </c>
      <c r="D315" t="s">
        <v>628</v>
      </c>
      <c r="E315" t="s">
        <v>637</v>
      </c>
      <c r="F315" s="1">
        <v>2.92</v>
      </c>
      <c r="G315" s="2">
        <v>0.4</v>
      </c>
      <c r="H315" s="2">
        <v>0.512</v>
      </c>
      <c r="I315" s="1">
        <v>4.09</v>
      </c>
      <c r="J315" s="1">
        <f>IF(AND(ISNUMBER(F315),ISNUMBER(H315)),ROUND(F315*(1+H315),2),"")</f>
        <v>4.42</v>
      </c>
      <c r="K315" s="2">
        <f>IF(AND(ISNUMBER(I315),I315&gt;0,ISNUMBER(J315)),J315/I315-1,"")</f>
        <v>0.0806845965770171</v>
      </c>
      <c r="L315" t="s">
        <v>38</v>
      </c>
      <c r="M315" s="1">
        <v>1.17</v>
      </c>
      <c r="N315" s="1">
        <f>IF(AND(ISNUMBER(U315),U315&gt;0,ISNUMBER(J315)),ROUND(J315/U315,2),"")</f>
        <v>1.26</v>
      </c>
      <c r="Q315" t="s">
        <v>40</v>
      </c>
      <c r="R315" t="s">
        <v>39</v>
      </c>
      <c r="S315">
        <v>526931</v>
      </c>
      <c r="T315">
        <v>526931</v>
      </c>
      <c r="U315" s="3">
        <v>3.5</v>
      </c>
      <c r="X315" t="s">
        <v>41</v>
      </c>
      <c r="Z315" s="1">
        <v>4.09</v>
      </c>
      <c r="AA315" s="1">
        <f>IF(AND(ISNUMBER(Z315),ISNUMBER(I315),I315&gt;0,ISNUMBER(J315)),ROUND(Z315*J315/I315,2),"")</f>
        <v>4.42</v>
      </c>
      <c r="AB315" t="s">
        <v>42</v>
      </c>
      <c r="AC315" t="s">
        <v>43</v>
      </c>
      <c r="AD315" t="s">
        <v>48</v>
      </c>
      <c r="AE315" t="s">
        <v>45</v>
      </c>
    </row>
    <row r="316">
      <c r="A316">
        <v>890649</v>
      </c>
      <c r="B316">
        <v>890649</v>
      </c>
      <c r="C316" t="s">
        <v>105</v>
      </c>
      <c r="D316" t="s">
        <v>628</v>
      </c>
      <c r="E316" t="s">
        <v>638</v>
      </c>
      <c r="F316" s="1">
        <v>1</v>
      </c>
      <c r="G316" s="2">
        <v>0.4</v>
      </c>
      <c r="H316" s="2">
        <v>0.512</v>
      </c>
      <c r="I316" s="1">
        <v>1.4</v>
      </c>
      <c r="J316" s="1">
        <f>IF(AND(ISNUMBER(F316),ISNUMBER(H316)),ROUND(F316*(1+H316),2),"")</f>
        <v>1.51</v>
      </c>
      <c r="K316" s="2">
        <f>IF(AND(ISNUMBER(I316),I316&gt;0,ISNUMBER(J316)),J316/I316-1,"")</f>
        <v>0.07857142857142874</v>
      </c>
      <c r="L316" t="s">
        <v>38</v>
      </c>
      <c r="M316" s="1">
        <v>1.4</v>
      </c>
      <c r="N316" s="1">
        <f>IF(AND(ISNUMBER(U316),U316&gt;0,ISNUMBER(J316)),ROUND(J316/U316,2),"")</f>
        <v>1.51</v>
      </c>
      <c r="Q316" t="s">
        <v>40</v>
      </c>
      <c r="R316" t="s">
        <v>39</v>
      </c>
      <c r="S316">
        <v>630138</v>
      </c>
      <c r="T316">
        <v>630138</v>
      </c>
      <c r="U316" s="3">
        <v>1</v>
      </c>
      <c r="X316" t="s">
        <v>41</v>
      </c>
      <c r="Z316" s="1">
        <v>1.4</v>
      </c>
      <c r="AA316" s="1">
        <f>IF(AND(ISNUMBER(Z316),ISNUMBER(I316),I316&gt;0,ISNUMBER(J316)),ROUND(Z316*J316/I316,2),"")</f>
        <v>1.51</v>
      </c>
      <c r="AB316" t="s">
        <v>42</v>
      </c>
      <c r="AC316" t="s">
        <v>43</v>
      </c>
      <c r="AD316" t="s">
        <v>48</v>
      </c>
      <c r="AE316" t="s">
        <v>45</v>
      </c>
    </row>
    <row r="317">
      <c r="A317">
        <v>958328</v>
      </c>
      <c r="B317">
        <v>958328</v>
      </c>
      <c r="C317" t="s">
        <v>639</v>
      </c>
      <c r="D317" t="s">
        <v>628</v>
      </c>
      <c r="E317" t="s">
        <v>98</v>
      </c>
      <c r="F317" s="1">
        <v>2.5</v>
      </c>
      <c r="G317" s="2">
        <v>0.4</v>
      </c>
      <c r="H317" s="2">
        <v>0.512</v>
      </c>
      <c r="I317" s="1">
        <v>3.5</v>
      </c>
      <c r="J317" s="1">
        <f>IF(AND(ISNUMBER(F317),ISNUMBER(H317)),ROUND(F317*(1+H317),2),"")</f>
        <v>3.78</v>
      </c>
      <c r="K317" s="2">
        <f>IF(AND(ISNUMBER(I317),I317&gt;0,ISNUMBER(J317)),J317/I317-1,"")</f>
        <v>0.07999999999999985</v>
      </c>
      <c r="L317" t="s">
        <v>38</v>
      </c>
      <c r="N317" s="1" t="s">
        <f>IF(AND(ISNUMBER(U317),U317&gt;0,ISNUMBER(J317)),ROUND(J317/U317,2),"")</f>
        <v>39</v>
      </c>
      <c r="Q317" t="s">
        <v>40</v>
      </c>
      <c r="R317" t="s">
        <v>39</v>
      </c>
      <c r="S317">
        <v>718070</v>
      </c>
      <c r="T317">
        <v>718070</v>
      </c>
      <c r="X317" t="s">
        <v>41</v>
      </c>
      <c r="Z317" s="1">
        <v>3.5</v>
      </c>
      <c r="AA317" s="1">
        <f>IF(AND(ISNUMBER(Z317),ISNUMBER(I317),I317&gt;0,ISNUMBER(J317)),ROUND(Z317*J317/I317,2),"")</f>
        <v>3.78</v>
      </c>
      <c r="AB317" t="s">
        <v>42</v>
      </c>
      <c r="AC317" t="s">
        <v>43</v>
      </c>
      <c r="AD317" t="s">
        <v>48</v>
      </c>
      <c r="AE317" t="s">
        <v>45</v>
      </c>
    </row>
    <row r="318">
      <c r="A318">
        <v>1033698</v>
      </c>
      <c r="B318">
        <v>1033698</v>
      </c>
      <c r="C318" t="s">
        <v>640</v>
      </c>
      <c r="D318" t="s">
        <v>628</v>
      </c>
      <c r="E318" t="s">
        <v>641</v>
      </c>
      <c r="F318" s="1">
        <v>35</v>
      </c>
      <c r="G318" s="2">
        <v>0.3</v>
      </c>
      <c r="H318" s="2">
        <v>0.404</v>
      </c>
      <c r="I318" s="1">
        <v>45.5</v>
      </c>
      <c r="J318" s="1">
        <f>IF(AND(ISNUMBER(F318),ISNUMBER(H318)),ROUND(F318*(1+H318),2),"")</f>
        <v>49.14</v>
      </c>
      <c r="K318" s="2">
        <f>IF(AND(ISNUMBER(I318),I318&gt;0,ISNUMBER(J318)),J318/I318-1,"")</f>
        <v>0.08000000000000007</v>
      </c>
      <c r="L318" t="s">
        <v>38</v>
      </c>
      <c r="N318" s="1" t="s">
        <f>IF(AND(ISNUMBER(U318),U318&gt;0,ISNUMBER(J318)),ROUND(J318/U318,2),"")</f>
        <v>39</v>
      </c>
      <c r="Q318" t="s">
        <v>40</v>
      </c>
      <c r="R318" t="s">
        <v>39</v>
      </c>
      <c r="S318">
        <v>829899</v>
      </c>
      <c r="T318">
        <v>829899</v>
      </c>
      <c r="X318" t="s">
        <v>41</v>
      </c>
      <c r="Z318" s="1">
        <v>45.5</v>
      </c>
      <c r="AA318" s="1">
        <f>IF(AND(ISNUMBER(Z318),ISNUMBER(I318),I318&gt;0,ISNUMBER(J318)),ROUND(Z318*J318/I318,2),"")</f>
        <v>49.14</v>
      </c>
      <c r="AB318" t="s">
        <v>42</v>
      </c>
      <c r="AC318" t="s">
        <v>642</v>
      </c>
      <c r="AD318" t="s">
        <v>48</v>
      </c>
      <c r="AE318" t="s">
        <v>45</v>
      </c>
    </row>
    <row r="319">
      <c r="A319">
        <v>1033698</v>
      </c>
      <c r="B319">
        <v>1033698</v>
      </c>
      <c r="C319" t="s">
        <v>640</v>
      </c>
      <c r="D319" t="s">
        <v>628</v>
      </c>
      <c r="E319" t="s">
        <v>643</v>
      </c>
      <c r="F319" s="1">
        <v>35</v>
      </c>
      <c r="G319" s="2">
        <v>0.3</v>
      </c>
      <c r="H319" s="2">
        <v>0.404</v>
      </c>
      <c r="I319" s="1">
        <v>45.5</v>
      </c>
      <c r="J319" s="1">
        <f>IF(AND(ISNUMBER(F319),ISNUMBER(H319)),ROUND(F319*(1+H319),2),"")</f>
        <v>49.14</v>
      </c>
      <c r="K319" s="2">
        <f>IF(AND(ISNUMBER(I319),I319&gt;0,ISNUMBER(J319)),J319/I319-1,"")</f>
        <v>0.08000000000000007</v>
      </c>
      <c r="L319" t="s">
        <v>38</v>
      </c>
      <c r="N319" s="1" t="s">
        <f>IF(AND(ISNUMBER(U319),U319&gt;0,ISNUMBER(J319)),ROUND(J319/U319,2),"")</f>
        <v>39</v>
      </c>
      <c r="Q319" t="s">
        <v>40</v>
      </c>
      <c r="R319" t="s">
        <v>39</v>
      </c>
      <c r="S319">
        <v>829900</v>
      </c>
      <c r="T319">
        <v>829900</v>
      </c>
      <c r="X319" t="s">
        <v>41</v>
      </c>
      <c r="Z319" s="1">
        <v>45.5</v>
      </c>
      <c r="AA319" s="1">
        <f>IF(AND(ISNUMBER(Z319),ISNUMBER(I319),I319&gt;0,ISNUMBER(J319)),ROUND(Z319*J319/I319,2),"")</f>
        <v>49.14</v>
      </c>
      <c r="AB319" t="s">
        <v>42</v>
      </c>
      <c r="AC319" t="s">
        <v>644</v>
      </c>
      <c r="AD319" t="s">
        <v>48</v>
      </c>
      <c r="AE319" t="s">
        <v>45</v>
      </c>
    </row>
    <row r="320">
      <c r="A320">
        <v>1033698</v>
      </c>
      <c r="B320">
        <v>1033698</v>
      </c>
      <c r="C320" t="s">
        <v>640</v>
      </c>
      <c r="D320" t="s">
        <v>628</v>
      </c>
      <c r="E320" t="s">
        <v>645</v>
      </c>
      <c r="F320" s="1">
        <v>35</v>
      </c>
      <c r="G320" s="2">
        <v>0.3</v>
      </c>
      <c r="H320" s="2">
        <v>0.404</v>
      </c>
      <c r="I320" s="1">
        <v>45.5</v>
      </c>
      <c r="J320" s="1">
        <f>IF(AND(ISNUMBER(F320),ISNUMBER(H320)),ROUND(F320*(1+H320),2),"")</f>
        <v>49.14</v>
      </c>
      <c r="K320" s="2">
        <f>IF(AND(ISNUMBER(I320),I320&gt;0,ISNUMBER(J320)),J320/I320-1,"")</f>
        <v>0.08000000000000007</v>
      </c>
      <c r="L320" t="s">
        <v>38</v>
      </c>
      <c r="N320" s="1" t="s">
        <f>IF(AND(ISNUMBER(U320),U320&gt;0,ISNUMBER(J320)),ROUND(J320/U320,2),"")</f>
        <v>39</v>
      </c>
      <c r="Q320" t="s">
        <v>40</v>
      </c>
      <c r="R320" t="s">
        <v>39</v>
      </c>
      <c r="S320">
        <v>829901</v>
      </c>
      <c r="T320">
        <v>829901</v>
      </c>
      <c r="X320" t="s">
        <v>41</v>
      </c>
      <c r="Z320" s="1">
        <v>45.5</v>
      </c>
      <c r="AA320" s="1">
        <f>IF(AND(ISNUMBER(Z320),ISNUMBER(I320),I320&gt;0,ISNUMBER(J320)),ROUND(Z320*J320/I320,2),"")</f>
        <v>49.14</v>
      </c>
      <c r="AB320" t="s">
        <v>42</v>
      </c>
      <c r="AC320" t="s">
        <v>642</v>
      </c>
      <c r="AD320" t="s">
        <v>48</v>
      </c>
      <c r="AE320" t="s">
        <v>45</v>
      </c>
    </row>
    <row r="321">
      <c r="A321">
        <v>1033698</v>
      </c>
      <c r="B321">
        <v>1033698</v>
      </c>
      <c r="C321" t="s">
        <v>640</v>
      </c>
      <c r="D321" t="s">
        <v>628</v>
      </c>
      <c r="E321" t="s">
        <v>646</v>
      </c>
      <c r="F321" s="1">
        <v>35</v>
      </c>
      <c r="G321" s="2">
        <v>0.3</v>
      </c>
      <c r="H321" s="2">
        <v>0.404</v>
      </c>
      <c r="I321" s="1">
        <v>45.5</v>
      </c>
      <c r="J321" s="1">
        <f>IF(AND(ISNUMBER(F321),ISNUMBER(H321)),ROUND(F321*(1+H321),2),"")</f>
        <v>49.14</v>
      </c>
      <c r="K321" s="2">
        <f>IF(AND(ISNUMBER(I321),I321&gt;0,ISNUMBER(J321)),J321/I321-1,"")</f>
        <v>0.08000000000000007</v>
      </c>
      <c r="L321" t="s">
        <v>38</v>
      </c>
      <c r="N321" s="1" t="s">
        <f>IF(AND(ISNUMBER(U321),U321&gt;0,ISNUMBER(J321)),ROUND(J321/U321,2),"")</f>
        <v>39</v>
      </c>
      <c r="Q321" t="s">
        <v>40</v>
      </c>
      <c r="R321" t="s">
        <v>39</v>
      </c>
      <c r="S321">
        <v>829898</v>
      </c>
      <c r="T321">
        <v>829898</v>
      </c>
      <c r="X321" t="s">
        <v>41</v>
      </c>
      <c r="Z321" s="1">
        <v>45.5</v>
      </c>
      <c r="AA321" s="1">
        <f>IF(AND(ISNUMBER(Z321),ISNUMBER(I321),I321&gt;0,ISNUMBER(J321)),ROUND(Z321*J321/I321,2),"")</f>
        <v>49.14</v>
      </c>
      <c r="AB321" t="s">
        <v>42</v>
      </c>
      <c r="AC321" t="s">
        <v>642</v>
      </c>
      <c r="AD321" t="s">
        <v>48</v>
      </c>
      <c r="AE321" t="s">
        <v>45</v>
      </c>
    </row>
    <row r="322">
      <c r="A322">
        <v>1033699</v>
      </c>
      <c r="B322">
        <v>1033699</v>
      </c>
      <c r="C322" t="s">
        <v>647</v>
      </c>
      <c r="D322" t="s">
        <v>628</v>
      </c>
      <c r="E322" t="s">
        <v>641</v>
      </c>
      <c r="F322" s="1">
        <v>17</v>
      </c>
      <c r="G322" s="2">
        <v>0.4</v>
      </c>
      <c r="H322" s="2">
        <v>0.512</v>
      </c>
      <c r="I322" s="1">
        <v>23.8</v>
      </c>
      <c r="J322" s="1">
        <f>IF(AND(ISNUMBER(F322),ISNUMBER(H322)),ROUND(F322*(1+H322),2),"")</f>
        <v>25.7</v>
      </c>
      <c r="K322" s="2">
        <f>IF(AND(ISNUMBER(I322),I322&gt;0,ISNUMBER(J322)),J322/I322-1,"")</f>
        <v>0.07983193277310918</v>
      </c>
      <c r="L322" t="s">
        <v>38</v>
      </c>
      <c r="N322" s="1" t="s">
        <f>IF(AND(ISNUMBER(U322),U322&gt;0,ISNUMBER(J322)),ROUND(J322/U322,2),"")</f>
        <v>39</v>
      </c>
      <c r="Q322" t="s">
        <v>40</v>
      </c>
      <c r="R322" t="s">
        <v>39</v>
      </c>
      <c r="S322">
        <v>829904</v>
      </c>
      <c r="T322">
        <v>829904</v>
      </c>
      <c r="X322" t="s">
        <v>41</v>
      </c>
      <c r="Z322" s="1">
        <v>23.8</v>
      </c>
      <c r="AA322" s="1">
        <f>IF(AND(ISNUMBER(Z322),ISNUMBER(I322),I322&gt;0,ISNUMBER(J322)),ROUND(Z322*J322/I322,2),"")</f>
        <v>25.7</v>
      </c>
      <c r="AB322" t="s">
        <v>42</v>
      </c>
      <c r="AC322" t="s">
        <v>43</v>
      </c>
      <c r="AD322" t="s">
        <v>48</v>
      </c>
      <c r="AE322" t="s">
        <v>45</v>
      </c>
    </row>
    <row r="323">
      <c r="A323">
        <v>1033699</v>
      </c>
      <c r="B323">
        <v>1033699</v>
      </c>
      <c r="C323" t="s">
        <v>647</v>
      </c>
      <c r="D323" t="s">
        <v>628</v>
      </c>
      <c r="E323" t="s">
        <v>643</v>
      </c>
      <c r="F323" s="1">
        <v>17</v>
      </c>
      <c r="G323" s="2">
        <v>0.4</v>
      </c>
      <c r="H323" s="2">
        <v>0.512</v>
      </c>
      <c r="I323" s="1">
        <v>23.8</v>
      </c>
      <c r="J323" s="1">
        <f>IF(AND(ISNUMBER(F323),ISNUMBER(H323)),ROUND(F323*(1+H323),2),"")</f>
        <v>25.7</v>
      </c>
      <c r="K323" s="2">
        <f>IF(AND(ISNUMBER(I323),I323&gt;0,ISNUMBER(J323)),J323/I323-1,"")</f>
        <v>0.07983193277310918</v>
      </c>
      <c r="L323" t="s">
        <v>38</v>
      </c>
      <c r="N323" s="1" t="s">
        <f>IF(AND(ISNUMBER(U323),U323&gt;0,ISNUMBER(J323)),ROUND(J323/U323,2),"")</f>
        <v>39</v>
      </c>
      <c r="Q323" t="s">
        <v>40</v>
      </c>
      <c r="R323" t="s">
        <v>39</v>
      </c>
      <c r="S323">
        <v>829903</v>
      </c>
      <c r="T323">
        <v>829903</v>
      </c>
      <c r="X323" t="s">
        <v>41</v>
      </c>
      <c r="Z323" s="1">
        <v>23.8</v>
      </c>
      <c r="AA323" s="1">
        <f>IF(AND(ISNUMBER(Z323),ISNUMBER(I323),I323&gt;0,ISNUMBER(J323)),ROUND(Z323*J323/I323,2),"")</f>
        <v>25.7</v>
      </c>
      <c r="AB323" t="s">
        <v>42</v>
      </c>
      <c r="AC323" t="s">
        <v>43</v>
      </c>
      <c r="AD323" t="s">
        <v>48</v>
      </c>
      <c r="AE323" t="s">
        <v>45</v>
      </c>
    </row>
    <row r="324">
      <c r="A324">
        <v>1033699</v>
      </c>
      <c r="B324">
        <v>1033699</v>
      </c>
      <c r="C324" t="s">
        <v>647</v>
      </c>
      <c r="D324" t="s">
        <v>628</v>
      </c>
      <c r="E324" t="s">
        <v>648</v>
      </c>
      <c r="F324" s="1">
        <v>17</v>
      </c>
      <c r="G324" s="2">
        <v>0.4</v>
      </c>
      <c r="H324" s="2">
        <v>0.512</v>
      </c>
      <c r="I324" s="1">
        <v>23.8</v>
      </c>
      <c r="J324" s="1">
        <f>IF(AND(ISNUMBER(F324),ISNUMBER(H324)),ROUND(F324*(1+H324),2),"")</f>
        <v>25.7</v>
      </c>
      <c r="K324" s="2">
        <f>IF(AND(ISNUMBER(I324),I324&gt;0,ISNUMBER(J324)),J324/I324-1,"")</f>
        <v>0.07983193277310918</v>
      </c>
      <c r="L324" t="s">
        <v>38</v>
      </c>
      <c r="N324" s="1" t="s">
        <f>IF(AND(ISNUMBER(U324),U324&gt;0,ISNUMBER(J324)),ROUND(J324/U324,2),"")</f>
        <v>39</v>
      </c>
      <c r="Q324" t="s">
        <v>40</v>
      </c>
      <c r="R324" t="s">
        <v>39</v>
      </c>
      <c r="S324">
        <v>829902</v>
      </c>
      <c r="T324">
        <v>829902</v>
      </c>
      <c r="X324" t="s">
        <v>41</v>
      </c>
      <c r="Z324" s="1">
        <v>23.8</v>
      </c>
      <c r="AA324" s="1">
        <f>IF(AND(ISNUMBER(Z324),ISNUMBER(I324),I324&gt;0,ISNUMBER(J324)),ROUND(Z324*J324/I324,2),"")</f>
        <v>25.7</v>
      </c>
      <c r="AB324" t="s">
        <v>42</v>
      </c>
      <c r="AC324" t="s">
        <v>43</v>
      </c>
      <c r="AD324" t="s">
        <v>48</v>
      </c>
      <c r="AE324" t="s">
        <v>45</v>
      </c>
    </row>
    <row r="325">
      <c r="A325">
        <v>832559</v>
      </c>
      <c r="B325">
        <v>832559</v>
      </c>
      <c r="C325" t="s">
        <v>649</v>
      </c>
      <c r="D325" t="s">
        <v>628</v>
      </c>
      <c r="E325" t="s">
        <v>63</v>
      </c>
      <c r="F325" s="1">
        <v>13</v>
      </c>
      <c r="G325" s="2">
        <v>0.4</v>
      </c>
      <c r="H325" s="2">
        <v>0.512</v>
      </c>
      <c r="I325" s="1">
        <v>18.2</v>
      </c>
      <c r="J325" s="1">
        <f>IF(AND(ISNUMBER(F325),ISNUMBER(H325)),ROUND(F325*(1+H325),2),"")</f>
        <v>19.66</v>
      </c>
      <c r="K325" s="2">
        <f>IF(AND(ISNUMBER(I325),I325&gt;0,ISNUMBER(J325)),J325/I325-1,"")</f>
        <v>0.08021978021978038</v>
      </c>
      <c r="L325" t="s">
        <v>38</v>
      </c>
      <c r="N325" s="1" t="s">
        <f>IF(AND(ISNUMBER(U325),U325&gt;0,ISNUMBER(J325)),ROUND(J325/U325,2),"")</f>
        <v>39</v>
      </c>
      <c r="Q325" t="s">
        <v>40</v>
      </c>
      <c r="R325" t="s">
        <v>39</v>
      </c>
      <c r="S325">
        <v>558216</v>
      </c>
      <c r="T325">
        <v>558216</v>
      </c>
      <c r="X325" t="s">
        <v>41</v>
      </c>
      <c r="Z325" s="1">
        <v>18.2</v>
      </c>
      <c r="AA325" s="1">
        <f>IF(AND(ISNUMBER(Z325),ISNUMBER(I325),I325&gt;0,ISNUMBER(J325)),ROUND(Z325*J325/I325,2),"")</f>
        <v>19.66</v>
      </c>
      <c r="AB325" t="s">
        <v>42</v>
      </c>
      <c r="AC325" t="s">
        <v>43</v>
      </c>
      <c r="AD325" t="s">
        <v>48</v>
      </c>
      <c r="AE325" t="s">
        <v>45</v>
      </c>
    </row>
    <row r="326">
      <c r="A326">
        <v>1010693</v>
      </c>
      <c r="B326">
        <v>1010693</v>
      </c>
      <c r="C326" t="s">
        <v>650</v>
      </c>
      <c r="D326" t="s">
        <v>628</v>
      </c>
      <c r="E326" t="s">
        <v>651</v>
      </c>
      <c r="F326" s="1">
        <v>17.72</v>
      </c>
      <c r="G326" s="2">
        <v>0.40011286681715585</v>
      </c>
      <c r="H326" s="2">
        <v>0.5121</v>
      </c>
      <c r="I326" s="1">
        <v>24.81</v>
      </c>
      <c r="J326" s="1">
        <f>IF(AND(ISNUMBER(F326),ISNUMBER(H326)),ROUND(F326*(1+H326),2),"")</f>
        <v>26.79</v>
      </c>
      <c r="K326" s="2">
        <f>IF(AND(ISNUMBER(I326),I326&gt;0,ISNUMBER(J326)),J326/I326-1,"")</f>
        <v>0.07980652962515111</v>
      </c>
      <c r="L326" t="s">
        <v>38</v>
      </c>
      <c r="N326" s="1" t="s">
        <f>IF(AND(ISNUMBER(U326),U326&gt;0,ISNUMBER(J326)),ROUND(J326/U326,2),"")</f>
        <v>39</v>
      </c>
      <c r="Q326" t="s">
        <v>40</v>
      </c>
      <c r="R326" t="s">
        <v>39</v>
      </c>
      <c r="S326">
        <v>793235</v>
      </c>
      <c r="T326">
        <v>793235</v>
      </c>
      <c r="V326" s="1">
        <v>17.72</v>
      </c>
      <c r="W326" s="1">
        <v>19.14</v>
      </c>
      <c r="X326" t="s">
        <v>250</v>
      </c>
      <c r="Y326" t="s">
        <v>652</v>
      </c>
      <c r="Z326" s="1">
        <v>24.81</v>
      </c>
      <c r="AA326" s="1">
        <f>IF(AND(ISNUMBER(Z326),ISNUMBER(I326),I326&gt;0,ISNUMBER(J326)),ROUND(Z326*J326/I326,2),"")</f>
        <v>26.79</v>
      </c>
      <c r="AB326" t="s">
        <v>653</v>
      </c>
      <c r="AC326" t="s">
        <v>253</v>
      </c>
      <c r="AD326" t="s">
        <v>44</v>
      </c>
      <c r="AE326" t="s">
        <v>45</v>
      </c>
    </row>
    <row r="327">
      <c r="A327">
        <v>1010693</v>
      </c>
      <c r="B327">
        <v>1010693</v>
      </c>
      <c r="C327" t="s">
        <v>650</v>
      </c>
      <c r="D327" t="s">
        <v>628</v>
      </c>
      <c r="E327" t="s">
        <v>654</v>
      </c>
      <c r="F327" s="1">
        <v>17.72</v>
      </c>
      <c r="G327" s="2">
        <v>0.4</v>
      </c>
      <c r="H327" s="2">
        <v>0.512</v>
      </c>
      <c r="I327" s="1">
        <v>24.81</v>
      </c>
      <c r="J327" s="1">
        <f>IF(AND(ISNUMBER(F327),ISNUMBER(H327)),ROUND(F327*(1+H327),2),"")</f>
        <v>26.79</v>
      </c>
      <c r="K327" s="2">
        <f>IF(AND(ISNUMBER(I327),I327&gt;0,ISNUMBER(J327)),J327/I327-1,"")</f>
        <v>0.07980652962515111</v>
      </c>
      <c r="L327" t="s">
        <v>38</v>
      </c>
      <c r="N327" s="1" t="s">
        <f>IF(AND(ISNUMBER(U327),U327&gt;0,ISNUMBER(J327)),ROUND(J327/U327,2),"")</f>
        <v>39</v>
      </c>
      <c r="Q327" t="s">
        <v>40</v>
      </c>
      <c r="R327" t="s">
        <v>39</v>
      </c>
      <c r="S327">
        <v>793236</v>
      </c>
      <c r="T327">
        <v>952518</v>
      </c>
      <c r="V327" s="1">
        <v>17.72</v>
      </c>
      <c r="W327" s="1">
        <v>19.14</v>
      </c>
      <c r="X327" t="s">
        <v>250</v>
      </c>
      <c r="Y327" t="s">
        <v>655</v>
      </c>
      <c r="Z327" s="1">
        <v>24.81</v>
      </c>
      <c r="AA327" s="1">
        <f>IF(AND(ISNUMBER(Z327),ISNUMBER(I327),I327&gt;0,ISNUMBER(J327)),ROUND(Z327*J327/I327,2),"")</f>
        <v>26.79</v>
      </c>
      <c r="AB327" t="s">
        <v>42</v>
      </c>
      <c r="AC327" t="s">
        <v>242</v>
      </c>
      <c r="AD327" t="s">
        <v>44</v>
      </c>
      <c r="AE327" t="s">
        <v>45</v>
      </c>
    </row>
    <row r="328">
      <c r="A328">
        <v>1010693</v>
      </c>
      <c r="B328">
        <v>1010693</v>
      </c>
      <c r="C328" t="s">
        <v>650</v>
      </c>
      <c r="D328" t="s">
        <v>628</v>
      </c>
      <c r="E328" t="s">
        <v>656</v>
      </c>
      <c r="F328" s="1">
        <v>17.72</v>
      </c>
      <c r="G328" s="2">
        <v>0.4</v>
      </c>
      <c r="H328" s="2">
        <v>0.512</v>
      </c>
      <c r="I328" s="1">
        <v>24.81</v>
      </c>
      <c r="J328" s="1">
        <f>IF(AND(ISNUMBER(F328),ISNUMBER(H328)),ROUND(F328*(1+H328),2),"")</f>
        <v>26.79</v>
      </c>
      <c r="K328" s="2">
        <f>IF(AND(ISNUMBER(I328),I328&gt;0,ISNUMBER(J328)),J328/I328-1,"")</f>
        <v>0.07980652962515111</v>
      </c>
      <c r="L328" t="s">
        <v>38</v>
      </c>
      <c r="N328" s="1" t="s">
        <f>IF(AND(ISNUMBER(U328),U328&gt;0,ISNUMBER(J328)),ROUND(J328/U328,2),"")</f>
        <v>39</v>
      </c>
      <c r="Q328" t="s">
        <v>40</v>
      </c>
      <c r="R328" t="s">
        <v>39</v>
      </c>
      <c r="S328">
        <v>952518</v>
      </c>
      <c r="T328">
        <v>952518</v>
      </c>
      <c r="X328" t="s">
        <v>41</v>
      </c>
      <c r="Z328" s="1">
        <v>24.81</v>
      </c>
      <c r="AA328" s="1">
        <f>IF(AND(ISNUMBER(Z328),ISNUMBER(I328),I328&gt;0,ISNUMBER(J328)),ROUND(Z328*J328/I328,2),"")</f>
        <v>26.79</v>
      </c>
      <c r="AB328" t="s">
        <v>42</v>
      </c>
      <c r="AC328" t="s">
        <v>43</v>
      </c>
      <c r="AD328" t="s">
        <v>44</v>
      </c>
      <c r="AE328" t="s">
        <v>45</v>
      </c>
    </row>
    <row r="329">
      <c r="A329">
        <v>807909</v>
      </c>
      <c r="B329">
        <v>807909</v>
      </c>
      <c r="C329" t="s">
        <v>657</v>
      </c>
      <c r="D329" t="s">
        <v>628</v>
      </c>
      <c r="E329" t="s">
        <v>658</v>
      </c>
      <c r="F329" s="1">
        <v>75</v>
      </c>
      <c r="G329" s="2">
        <v>0</v>
      </c>
      <c r="H329" s="2">
        <v>0.08</v>
      </c>
      <c r="I329" s="1">
        <v>75</v>
      </c>
      <c r="J329" s="1">
        <f>IF(AND(ISNUMBER(F329),ISNUMBER(H329)),ROUND(F329*(1+H329),2),"")</f>
        <v>81</v>
      </c>
      <c r="K329" s="2">
        <f>IF(AND(ISNUMBER(I329),I329&gt;0,ISNUMBER(J329)),J329/I329-1,"")</f>
        <v>0.08000000000000007</v>
      </c>
      <c r="L329" t="s">
        <v>38</v>
      </c>
      <c r="N329" s="1" t="s">
        <f>IF(AND(ISNUMBER(U329),U329&gt;0,ISNUMBER(J329)),ROUND(J329/U329,2),"")</f>
        <v>39</v>
      </c>
      <c r="Q329" t="s">
        <v>40</v>
      </c>
      <c r="R329" t="s">
        <v>39</v>
      </c>
      <c r="S329">
        <v>529295</v>
      </c>
      <c r="T329">
        <v>529295</v>
      </c>
      <c r="X329" t="s">
        <v>41</v>
      </c>
      <c r="Z329" s="1">
        <v>75</v>
      </c>
      <c r="AA329" s="1">
        <f>IF(AND(ISNUMBER(Z329),ISNUMBER(I329),I329&gt;0,ISNUMBER(J329)),ROUND(Z329*J329/I329,2),"")</f>
        <v>81</v>
      </c>
      <c r="AB329" t="s">
        <v>231</v>
      </c>
      <c r="AC329" t="s">
        <v>134</v>
      </c>
      <c r="AD329" t="s">
        <v>48</v>
      </c>
      <c r="AE329" t="s">
        <v>45</v>
      </c>
    </row>
    <row r="330">
      <c r="A330">
        <v>807909</v>
      </c>
      <c r="B330">
        <v>807909</v>
      </c>
      <c r="C330" t="s">
        <v>657</v>
      </c>
      <c r="D330" t="s">
        <v>628</v>
      </c>
      <c r="E330" t="s">
        <v>659</v>
      </c>
      <c r="F330" s="1">
        <v>0</v>
      </c>
      <c r="I330" s="1">
        <v>0</v>
      </c>
      <c r="J330" s="1" t="s">
        <f>IF(AND(ISNUMBER(F330),ISNUMBER(H330)),ROUND(F330*(1+H330),2),"")</f>
        <v>39</v>
      </c>
      <c r="K330" s="2" t="s">
        <f>IF(AND(ISNUMBER(I330),I330&gt;0,ISNUMBER(J330)),J330/I330-1,"")</f>
        <v>39</v>
      </c>
      <c r="L330" t="s">
        <v>38</v>
      </c>
      <c r="N330" s="1" t="s">
        <f>IF(AND(ISNUMBER(U330),U330&gt;0,ISNUMBER(J330)),ROUND(J330/U330,2),"")</f>
        <v>39</v>
      </c>
      <c r="Q330" t="s">
        <v>166</v>
      </c>
      <c r="R330" t="s">
        <v>39</v>
      </c>
      <c r="S330">
        <v>529296</v>
      </c>
      <c r="T330">
        <v>529296</v>
      </c>
      <c r="X330" t="s">
        <v>41</v>
      </c>
      <c r="Z330" s="1">
        <v>0</v>
      </c>
      <c r="AA330" s="1" t="s">
        <f>IF(AND(ISNUMBER(Z330),ISNUMBER(I330),I330&gt;0,ISNUMBER(J330)),ROUND(Z330*J330/I330,2),"")</f>
        <v>39</v>
      </c>
      <c r="AB330" t="s">
        <v>167</v>
      </c>
      <c r="AC330" t="s">
        <v>660</v>
      </c>
      <c r="AD330" t="s">
        <v>48</v>
      </c>
      <c r="AE330" t="s">
        <v>45</v>
      </c>
    </row>
    <row r="331">
      <c r="A331">
        <v>805888</v>
      </c>
      <c r="B331">
        <v>805888</v>
      </c>
      <c r="C331" t="s">
        <v>661</v>
      </c>
      <c r="D331" t="s">
        <v>628</v>
      </c>
      <c r="E331" t="s">
        <v>662</v>
      </c>
      <c r="F331" s="1">
        <v>2.3</v>
      </c>
      <c r="G331" s="2">
        <v>0.4</v>
      </c>
      <c r="H331" s="2">
        <v>0.512</v>
      </c>
      <c r="I331" s="1">
        <v>3.22</v>
      </c>
      <c r="J331" s="1">
        <f>IF(AND(ISNUMBER(F331),ISNUMBER(H331)),ROUND(F331*(1+H331),2),"")</f>
        <v>3.48</v>
      </c>
      <c r="K331" s="2">
        <f>IF(AND(ISNUMBER(I331),I331&gt;0,ISNUMBER(J331)),J331/I331-1,"")</f>
        <v>0.08074534161490665</v>
      </c>
      <c r="L331" t="s">
        <v>38</v>
      </c>
      <c r="M331" s="1">
        <v>1.61</v>
      </c>
      <c r="N331" s="1">
        <f>IF(AND(ISNUMBER(U331),U331&gt;0,ISNUMBER(J331)),ROUND(J331/U331,2),"")</f>
        <v>1.74</v>
      </c>
      <c r="Q331" t="s">
        <v>40</v>
      </c>
      <c r="R331" t="s">
        <v>39</v>
      </c>
      <c r="S331">
        <v>526946</v>
      </c>
      <c r="T331">
        <v>526946</v>
      </c>
      <c r="U331" s="3">
        <v>2</v>
      </c>
      <c r="X331" t="s">
        <v>41</v>
      </c>
      <c r="Z331" s="1">
        <v>3.22</v>
      </c>
      <c r="AA331" s="1">
        <f>IF(AND(ISNUMBER(Z331),ISNUMBER(I331),I331&gt;0,ISNUMBER(J331)),ROUND(Z331*J331/I331,2),"")</f>
        <v>3.48</v>
      </c>
      <c r="AB331" t="s">
        <v>42</v>
      </c>
      <c r="AC331" t="s">
        <v>43</v>
      </c>
      <c r="AD331" t="s">
        <v>44</v>
      </c>
      <c r="AE331" t="s">
        <v>45</v>
      </c>
    </row>
    <row r="332">
      <c r="A332">
        <v>1105400</v>
      </c>
      <c r="B332">
        <v>1105400</v>
      </c>
      <c r="C332" t="s">
        <v>663</v>
      </c>
      <c r="D332" t="s">
        <v>628</v>
      </c>
      <c r="E332" t="s">
        <v>634</v>
      </c>
      <c r="F332" s="1">
        <v>44.98</v>
      </c>
      <c r="G332" s="2">
        <v>0.44</v>
      </c>
      <c r="H332" s="2">
        <v>0.5552</v>
      </c>
      <c r="I332" s="1">
        <v>64.77</v>
      </c>
      <c r="J332" s="1">
        <f>IF(AND(ISNUMBER(F332),ISNUMBER(H332)),ROUND(F332*(1+H332),2),"")</f>
        <v>69.95</v>
      </c>
      <c r="K332" s="2">
        <f>IF(AND(ISNUMBER(I332),I332&gt;0,ISNUMBER(J332)),J332/I332-1,"")</f>
        <v>0.07997529720549656</v>
      </c>
      <c r="L332" t="s">
        <v>38</v>
      </c>
      <c r="N332" s="1" t="s">
        <f>IF(AND(ISNUMBER(U332),U332&gt;0,ISNUMBER(J332)),ROUND(J332/U332,2),"")</f>
        <v>39</v>
      </c>
      <c r="Q332" t="s">
        <v>40</v>
      </c>
      <c r="R332" t="s">
        <v>39</v>
      </c>
      <c r="S332">
        <v>923210</v>
      </c>
      <c r="T332">
        <v>923210</v>
      </c>
      <c r="X332" t="s">
        <v>41</v>
      </c>
      <c r="Z332" s="1">
        <v>64.77</v>
      </c>
      <c r="AA332" s="1">
        <f>IF(AND(ISNUMBER(Z332),ISNUMBER(I332),I332&gt;0,ISNUMBER(J332)),ROUND(Z332*J332/I332,2),"")</f>
        <v>69.95</v>
      </c>
      <c r="AB332" t="s">
        <v>42</v>
      </c>
      <c r="AC332" t="s">
        <v>134</v>
      </c>
      <c r="AD332" t="s">
        <v>48</v>
      </c>
      <c r="AE332" t="s">
        <v>45</v>
      </c>
    </row>
    <row r="333">
      <c r="A333">
        <v>1105400</v>
      </c>
      <c r="B333">
        <v>1105400</v>
      </c>
      <c r="C333" t="s">
        <v>663</v>
      </c>
      <c r="D333" t="s">
        <v>628</v>
      </c>
      <c r="E333" t="s">
        <v>634</v>
      </c>
      <c r="F333" s="1">
        <v>48.22</v>
      </c>
      <c r="J333" s="1" t="s">
        <f>IF(AND(ISNUMBER(F333),ISNUMBER(H333)),ROUND(F333*(1+H333),2),"")</f>
        <v>39</v>
      </c>
      <c r="K333" s="2" t="s">
        <f>IF(AND(ISNUMBER(I333),I333&gt;0,ISNUMBER(J333)),J333/I333-1,"")</f>
        <v>39</v>
      </c>
      <c r="L333" t="s">
        <v>38</v>
      </c>
      <c r="N333" s="1" t="s">
        <f>IF(AND(ISNUMBER(U333),U333&gt;0,ISNUMBER(J333)),ROUND(J333/U333,2),"")</f>
        <v>39</v>
      </c>
      <c r="Q333" t="s">
        <v>166</v>
      </c>
      <c r="R333" t="s">
        <v>39</v>
      </c>
      <c r="S333">
        <v>929119</v>
      </c>
      <c r="T333">
        <v>929119</v>
      </c>
      <c r="X333" t="s">
        <v>41</v>
      </c>
      <c r="AA333" s="1" t="s">
        <f>IF(AND(ISNUMBER(Z333),ISNUMBER(I333),I333&gt;0,ISNUMBER(J333)),ROUND(Z333*J333/I333,2),"")</f>
        <v>39</v>
      </c>
      <c r="AB333" t="s">
        <v>167</v>
      </c>
      <c r="AC333" t="s">
        <v>168</v>
      </c>
      <c r="AD333" t="s">
        <v>48</v>
      </c>
      <c r="AE333" t="s">
        <v>45</v>
      </c>
    </row>
    <row r="334">
      <c r="A334">
        <v>1109580</v>
      </c>
      <c r="B334">
        <v>1109580</v>
      </c>
      <c r="C334" t="s">
        <v>663</v>
      </c>
      <c r="D334" t="s">
        <v>628</v>
      </c>
      <c r="E334" t="s">
        <v>634</v>
      </c>
      <c r="J334" s="1" t="s">
        <f>IF(AND(ISNUMBER(F334),ISNUMBER(H334)),ROUND(F334*(1+H334),2),"")</f>
        <v>39</v>
      </c>
      <c r="K334" s="2" t="s">
        <f>IF(AND(ISNUMBER(I334),I334&gt;0,ISNUMBER(J334)),J334/I334-1,"")</f>
        <v>39</v>
      </c>
      <c r="L334" t="s">
        <v>38</v>
      </c>
      <c r="N334" s="1" t="s">
        <f>IF(AND(ISNUMBER(U334),U334&gt;0,ISNUMBER(J334)),ROUND(J334/U334,2),"")</f>
        <v>39</v>
      </c>
      <c r="Q334" t="s">
        <v>166</v>
      </c>
      <c r="R334" t="s">
        <v>39</v>
      </c>
      <c r="X334" t="s">
        <v>41</v>
      </c>
      <c r="AA334" s="1" t="s">
        <f>IF(AND(ISNUMBER(Z334),ISNUMBER(I334),I334&gt;0,ISNUMBER(J334)),ROUND(Z334*J334/I334,2),"")</f>
        <v>39</v>
      </c>
      <c r="AB334" t="s">
        <v>167</v>
      </c>
      <c r="AC334" t="s">
        <v>635</v>
      </c>
      <c r="AD334" t="s">
        <v>48</v>
      </c>
      <c r="AE334" t="s">
        <v>45</v>
      </c>
    </row>
    <row r="335">
      <c r="A335">
        <v>1109581</v>
      </c>
      <c r="B335">
        <v>1109581</v>
      </c>
      <c r="C335" t="s">
        <v>664</v>
      </c>
      <c r="D335" t="s">
        <v>628</v>
      </c>
      <c r="E335" t="s">
        <v>634</v>
      </c>
      <c r="F335" s="1">
        <v>35.98</v>
      </c>
      <c r="G335" s="2">
        <v>0.44</v>
      </c>
      <c r="H335" s="2">
        <v>0.5552</v>
      </c>
      <c r="I335" s="1">
        <v>51.81</v>
      </c>
      <c r="J335" s="1">
        <f>IF(AND(ISNUMBER(F335),ISNUMBER(H335)),ROUND(F335*(1+H335),2),"")</f>
        <v>55.96</v>
      </c>
      <c r="K335" s="2">
        <f>IF(AND(ISNUMBER(I335),I335&gt;0,ISNUMBER(J335)),J335/I335-1,"")</f>
        <v>0.08010036672457055</v>
      </c>
      <c r="L335" t="s">
        <v>38</v>
      </c>
      <c r="N335" s="1" t="s">
        <f>IF(AND(ISNUMBER(U335),U335&gt;0,ISNUMBER(J335)),ROUND(J335/U335,2),"")</f>
        <v>39</v>
      </c>
      <c r="Q335" t="s">
        <v>40</v>
      </c>
      <c r="R335" t="s">
        <v>39</v>
      </c>
      <c r="S335">
        <v>929120</v>
      </c>
      <c r="T335">
        <v>929120</v>
      </c>
      <c r="X335" t="s">
        <v>41</v>
      </c>
      <c r="Z335" s="1">
        <v>51.81</v>
      </c>
      <c r="AA335" s="1">
        <f>IF(AND(ISNUMBER(Z335),ISNUMBER(I335),I335&gt;0,ISNUMBER(J335)),ROUND(Z335*J335/I335,2),"")</f>
        <v>55.96</v>
      </c>
      <c r="AB335" t="s">
        <v>42</v>
      </c>
      <c r="AC335" t="s">
        <v>134</v>
      </c>
      <c r="AD335" t="s">
        <v>48</v>
      </c>
      <c r="AE335" t="s">
        <v>45</v>
      </c>
    </row>
    <row r="336">
      <c r="A336">
        <v>1119806</v>
      </c>
      <c r="B336">
        <v>1119806</v>
      </c>
      <c r="C336" t="s">
        <v>665</v>
      </c>
      <c r="D336" t="s">
        <v>628</v>
      </c>
      <c r="E336" t="s">
        <v>634</v>
      </c>
      <c r="F336" s="1">
        <v>70.1</v>
      </c>
      <c r="G336" s="2">
        <v>0.44</v>
      </c>
      <c r="H336" s="2">
        <v>0.5552</v>
      </c>
      <c r="I336" s="1">
        <v>100.94</v>
      </c>
      <c r="J336" s="1">
        <f>IF(AND(ISNUMBER(F336),ISNUMBER(H336)),ROUND(F336*(1+H336),2),"")</f>
        <v>109.02</v>
      </c>
      <c r="K336" s="2">
        <f>IF(AND(ISNUMBER(I336),I336&gt;0,ISNUMBER(J336)),J336/I336-1,"")</f>
        <v>0.08004755300178323</v>
      </c>
      <c r="L336" t="s">
        <v>38</v>
      </c>
      <c r="N336" s="1" t="s">
        <f>IF(AND(ISNUMBER(U336),U336&gt;0,ISNUMBER(J336)),ROUND(J336/U336,2),"")</f>
        <v>39</v>
      </c>
      <c r="Q336" t="s">
        <v>40</v>
      </c>
      <c r="R336" t="s">
        <v>39</v>
      </c>
      <c r="S336">
        <v>947639</v>
      </c>
      <c r="T336">
        <v>947639</v>
      </c>
      <c r="X336" t="s">
        <v>41</v>
      </c>
      <c r="Z336" s="1">
        <v>100.94</v>
      </c>
      <c r="AA336" s="1">
        <f>IF(AND(ISNUMBER(Z336),ISNUMBER(I336),I336&gt;0,ISNUMBER(J336)),ROUND(Z336*J336/I336,2),"")</f>
        <v>109.02</v>
      </c>
      <c r="AB336" t="s">
        <v>42</v>
      </c>
      <c r="AC336" t="s">
        <v>134</v>
      </c>
      <c r="AD336" t="s">
        <v>48</v>
      </c>
      <c r="AE336" t="s">
        <v>45</v>
      </c>
    </row>
    <row r="337">
      <c r="A337">
        <v>1119806</v>
      </c>
      <c r="B337">
        <v>1119806</v>
      </c>
      <c r="C337" t="s">
        <v>665</v>
      </c>
      <c r="D337" t="s">
        <v>628</v>
      </c>
      <c r="E337" t="s">
        <v>634</v>
      </c>
      <c r="F337" s="1">
        <v>68.1</v>
      </c>
      <c r="J337" s="1" t="s">
        <f>IF(AND(ISNUMBER(F337),ISNUMBER(H337)),ROUND(F337*(1+H337),2),"")</f>
        <v>39</v>
      </c>
      <c r="K337" s="2" t="s">
        <f>IF(AND(ISNUMBER(I337),I337&gt;0,ISNUMBER(J337)),J337/I337-1,"")</f>
        <v>39</v>
      </c>
      <c r="L337" t="s">
        <v>38</v>
      </c>
      <c r="N337" s="1" t="s">
        <f>IF(AND(ISNUMBER(U337),U337&gt;0,ISNUMBER(J337)),ROUND(J337/U337,2),"")</f>
        <v>39</v>
      </c>
      <c r="Q337" t="s">
        <v>166</v>
      </c>
      <c r="R337" t="s">
        <v>39</v>
      </c>
      <c r="S337">
        <v>949065</v>
      </c>
      <c r="T337">
        <v>949065</v>
      </c>
      <c r="X337" t="s">
        <v>41</v>
      </c>
      <c r="AA337" s="1" t="s">
        <f>IF(AND(ISNUMBER(Z337),ISNUMBER(I337),I337&gt;0,ISNUMBER(J337)),ROUND(Z337*J337/I337,2),"")</f>
        <v>39</v>
      </c>
      <c r="AB337" t="s">
        <v>167</v>
      </c>
      <c r="AC337" t="s">
        <v>168</v>
      </c>
      <c r="AD337" t="s">
        <v>48</v>
      </c>
      <c r="AE337" t="s">
        <v>45</v>
      </c>
    </row>
    <row r="338">
      <c r="A338">
        <v>1120973</v>
      </c>
      <c r="B338">
        <v>1120973</v>
      </c>
      <c r="C338" t="s">
        <v>665</v>
      </c>
      <c r="D338" t="s">
        <v>628</v>
      </c>
      <c r="E338" t="s">
        <v>634</v>
      </c>
      <c r="J338" s="1" t="s">
        <f>IF(AND(ISNUMBER(F338),ISNUMBER(H338)),ROUND(F338*(1+H338),2),"")</f>
        <v>39</v>
      </c>
      <c r="K338" s="2" t="s">
        <f>IF(AND(ISNUMBER(I338),I338&gt;0,ISNUMBER(J338)),J338/I338-1,"")</f>
        <v>39</v>
      </c>
      <c r="L338" t="s">
        <v>38</v>
      </c>
      <c r="N338" s="1" t="s">
        <f>IF(AND(ISNUMBER(U338),U338&gt;0,ISNUMBER(J338)),ROUND(J338/U338,2),"")</f>
        <v>39</v>
      </c>
      <c r="Q338" t="s">
        <v>166</v>
      </c>
      <c r="R338" t="s">
        <v>39</v>
      </c>
      <c r="X338" t="s">
        <v>41</v>
      </c>
      <c r="AA338" s="1" t="s">
        <f>IF(AND(ISNUMBER(Z338),ISNUMBER(I338),I338&gt;0,ISNUMBER(J338)),ROUND(Z338*J338/I338,2),"")</f>
        <v>39</v>
      </c>
      <c r="AB338" t="s">
        <v>167</v>
      </c>
      <c r="AC338" t="s">
        <v>635</v>
      </c>
      <c r="AD338" t="s">
        <v>48</v>
      </c>
      <c r="AE338" t="s">
        <v>45</v>
      </c>
    </row>
    <row r="339">
      <c r="A339">
        <v>1120974</v>
      </c>
      <c r="B339">
        <v>1120974</v>
      </c>
      <c r="C339" t="s">
        <v>666</v>
      </c>
      <c r="D339" t="s">
        <v>628</v>
      </c>
      <c r="E339" t="s">
        <v>634</v>
      </c>
      <c r="F339" s="1">
        <v>60.1</v>
      </c>
      <c r="G339" s="2">
        <v>0.44</v>
      </c>
      <c r="H339" s="2">
        <v>0.5552</v>
      </c>
      <c r="I339" s="1">
        <v>86.54</v>
      </c>
      <c r="J339" s="1">
        <f>IF(AND(ISNUMBER(F339),ISNUMBER(H339)),ROUND(F339*(1+H339),2),"")</f>
        <v>93.47</v>
      </c>
      <c r="K339" s="2">
        <f>IF(AND(ISNUMBER(I339),I339&gt;0,ISNUMBER(J339)),J339/I339-1,"")</f>
        <v>0.08007857638086424</v>
      </c>
      <c r="L339" t="s">
        <v>38</v>
      </c>
      <c r="N339" s="1" t="s">
        <f>IF(AND(ISNUMBER(U339),U339&gt;0,ISNUMBER(J339)),ROUND(J339/U339,2),"")</f>
        <v>39</v>
      </c>
      <c r="Q339" t="s">
        <v>40</v>
      </c>
      <c r="R339" t="s">
        <v>39</v>
      </c>
      <c r="S339">
        <v>949066</v>
      </c>
      <c r="T339">
        <v>949066</v>
      </c>
      <c r="X339" t="s">
        <v>41</v>
      </c>
      <c r="Z339" s="1">
        <v>86.54</v>
      </c>
      <c r="AA339" s="1">
        <f>IF(AND(ISNUMBER(Z339),ISNUMBER(I339),I339&gt;0,ISNUMBER(J339)),ROUND(Z339*J339/I339,2),"")</f>
        <v>93.47</v>
      </c>
      <c r="AB339" t="s">
        <v>42</v>
      </c>
      <c r="AC339" t="s">
        <v>134</v>
      </c>
      <c r="AD339" t="s">
        <v>48</v>
      </c>
      <c r="AE339" t="s">
        <v>45</v>
      </c>
    </row>
    <row r="340">
      <c r="A340">
        <v>1133712</v>
      </c>
      <c r="B340">
        <v>1133712</v>
      </c>
      <c r="C340" t="s">
        <v>667</v>
      </c>
      <c r="D340" t="s">
        <v>628</v>
      </c>
      <c r="E340" t="s">
        <v>634</v>
      </c>
      <c r="F340" s="1">
        <v>65.15</v>
      </c>
      <c r="G340" s="2">
        <v>0.44</v>
      </c>
      <c r="H340" s="2">
        <v>0.5552</v>
      </c>
      <c r="I340" s="1">
        <v>93.82</v>
      </c>
      <c r="J340" s="1">
        <f>IF(AND(ISNUMBER(F340),ISNUMBER(H340)),ROUND(F340*(1+H340),2),"")</f>
        <v>101.32</v>
      </c>
      <c r="K340" s="2">
        <f>IF(AND(ISNUMBER(I340),I340&gt;0,ISNUMBER(J340)),J340/I340-1,"")</f>
        <v>0.07994031123427847</v>
      </c>
      <c r="L340" t="s">
        <v>38</v>
      </c>
      <c r="N340" s="1" t="s">
        <f>IF(AND(ISNUMBER(U340),U340&gt;0,ISNUMBER(J340)),ROUND(J340/U340,2),"")</f>
        <v>39</v>
      </c>
      <c r="Q340" t="s">
        <v>40</v>
      </c>
      <c r="R340" t="s">
        <v>39</v>
      </c>
      <c r="S340">
        <v>969091</v>
      </c>
      <c r="T340">
        <v>969091</v>
      </c>
      <c r="X340" t="s">
        <v>41</v>
      </c>
      <c r="Z340" s="1">
        <v>93.82</v>
      </c>
      <c r="AA340" s="1">
        <f>IF(AND(ISNUMBER(Z340),ISNUMBER(I340),I340&gt;0,ISNUMBER(J340)),ROUND(Z340*J340/I340,2),"")</f>
        <v>101.32</v>
      </c>
      <c r="AB340" t="s">
        <v>42</v>
      </c>
      <c r="AC340" t="s">
        <v>134</v>
      </c>
      <c r="AD340" t="s">
        <v>48</v>
      </c>
      <c r="AE340" t="s">
        <v>45</v>
      </c>
    </row>
    <row r="341">
      <c r="A341">
        <v>1133712</v>
      </c>
      <c r="B341">
        <v>1133712</v>
      </c>
      <c r="C341" t="s">
        <v>667</v>
      </c>
      <c r="D341" t="s">
        <v>628</v>
      </c>
      <c r="E341" t="s">
        <v>634</v>
      </c>
      <c r="F341" s="1">
        <v>50</v>
      </c>
      <c r="J341" s="1" t="s">
        <f>IF(AND(ISNUMBER(F341),ISNUMBER(H341)),ROUND(F341*(1+H341),2),"")</f>
        <v>39</v>
      </c>
      <c r="K341" s="2" t="s">
        <f>IF(AND(ISNUMBER(I341),I341&gt;0,ISNUMBER(J341)),J341/I341-1,"")</f>
        <v>39</v>
      </c>
      <c r="L341" t="s">
        <v>38</v>
      </c>
      <c r="N341" s="1" t="s">
        <f>IF(AND(ISNUMBER(U341),U341&gt;0,ISNUMBER(J341)),ROUND(J341/U341,2),"")</f>
        <v>39</v>
      </c>
      <c r="Q341" t="s">
        <v>166</v>
      </c>
      <c r="R341" t="s">
        <v>39</v>
      </c>
      <c r="S341">
        <v>969092</v>
      </c>
      <c r="T341">
        <v>969092</v>
      </c>
      <c r="X341" t="s">
        <v>41</v>
      </c>
      <c r="AA341" s="1" t="s">
        <f>IF(AND(ISNUMBER(Z341),ISNUMBER(I341),I341&gt;0,ISNUMBER(J341)),ROUND(Z341*J341/I341,2),"")</f>
        <v>39</v>
      </c>
      <c r="AB341" t="s">
        <v>167</v>
      </c>
      <c r="AC341" t="s">
        <v>168</v>
      </c>
      <c r="AD341" t="s">
        <v>48</v>
      </c>
      <c r="AE341" t="s">
        <v>45</v>
      </c>
    </row>
    <row r="342">
      <c r="A342">
        <v>1133713</v>
      </c>
      <c r="B342">
        <v>1133713</v>
      </c>
      <c r="C342" t="s">
        <v>667</v>
      </c>
      <c r="D342" t="s">
        <v>628</v>
      </c>
      <c r="E342" t="s">
        <v>634</v>
      </c>
      <c r="J342" s="1" t="s">
        <f>IF(AND(ISNUMBER(F342),ISNUMBER(H342)),ROUND(F342*(1+H342),2),"")</f>
        <v>39</v>
      </c>
      <c r="K342" s="2" t="s">
        <f>IF(AND(ISNUMBER(I342),I342&gt;0,ISNUMBER(J342)),J342/I342-1,"")</f>
        <v>39</v>
      </c>
      <c r="L342" t="s">
        <v>38</v>
      </c>
      <c r="N342" s="1" t="s">
        <f>IF(AND(ISNUMBER(U342),U342&gt;0,ISNUMBER(J342)),ROUND(J342/U342,2),"")</f>
        <v>39</v>
      </c>
      <c r="Q342" t="s">
        <v>166</v>
      </c>
      <c r="R342" t="s">
        <v>39</v>
      </c>
      <c r="X342" t="s">
        <v>41</v>
      </c>
      <c r="AA342" s="1" t="s">
        <f>IF(AND(ISNUMBER(Z342),ISNUMBER(I342),I342&gt;0,ISNUMBER(J342)),ROUND(Z342*J342/I342,2),"")</f>
        <v>39</v>
      </c>
      <c r="AB342" t="s">
        <v>167</v>
      </c>
      <c r="AC342" t="s">
        <v>635</v>
      </c>
      <c r="AD342" t="s">
        <v>48</v>
      </c>
      <c r="AE342" t="s">
        <v>45</v>
      </c>
    </row>
    <row r="343">
      <c r="A343">
        <v>1133714</v>
      </c>
      <c r="B343">
        <v>1133714</v>
      </c>
      <c r="C343" t="s">
        <v>668</v>
      </c>
      <c r="D343" t="s">
        <v>628</v>
      </c>
      <c r="E343" t="s">
        <v>634</v>
      </c>
      <c r="F343" s="1">
        <v>55.15</v>
      </c>
      <c r="G343" s="2">
        <v>0.44</v>
      </c>
      <c r="H343" s="2">
        <v>0.5552</v>
      </c>
      <c r="I343" s="1">
        <v>79.42</v>
      </c>
      <c r="J343" s="1">
        <f>IF(AND(ISNUMBER(F343),ISNUMBER(H343)),ROUND(F343*(1+H343),2),"")</f>
        <v>85.77</v>
      </c>
      <c r="K343" s="2">
        <f>IF(AND(ISNUMBER(I343),I343&gt;0,ISNUMBER(J343)),J343/I343-1,"")</f>
        <v>0.07995467136741374</v>
      </c>
      <c r="L343" t="s">
        <v>38</v>
      </c>
      <c r="N343" s="1" t="s">
        <f>IF(AND(ISNUMBER(U343),U343&gt;0,ISNUMBER(J343)),ROUND(J343/U343,2),"")</f>
        <v>39</v>
      </c>
      <c r="Q343" t="s">
        <v>40</v>
      </c>
      <c r="R343" t="s">
        <v>39</v>
      </c>
      <c r="S343">
        <v>969093</v>
      </c>
      <c r="T343">
        <v>969093</v>
      </c>
      <c r="X343" t="s">
        <v>41</v>
      </c>
      <c r="Z343" s="1">
        <v>79.42</v>
      </c>
      <c r="AA343" s="1">
        <f>IF(AND(ISNUMBER(Z343),ISNUMBER(I343),I343&gt;0,ISNUMBER(J343)),ROUND(Z343*J343/I343,2),"")</f>
        <v>85.77</v>
      </c>
      <c r="AB343" t="s">
        <v>42</v>
      </c>
      <c r="AC343" t="s">
        <v>134</v>
      </c>
      <c r="AD343" t="s">
        <v>48</v>
      </c>
      <c r="AE343" t="s">
        <v>45</v>
      </c>
    </row>
    <row r="344">
      <c r="A344">
        <v>805758</v>
      </c>
      <c r="B344">
        <v>805758</v>
      </c>
      <c r="C344" t="s">
        <v>669</v>
      </c>
      <c r="D344" t="s">
        <v>628</v>
      </c>
      <c r="E344" t="s">
        <v>670</v>
      </c>
      <c r="F344" s="1">
        <v>4.5</v>
      </c>
      <c r="G344" s="2">
        <v>0.4</v>
      </c>
      <c r="H344" s="2">
        <v>0.512</v>
      </c>
      <c r="I344" s="1">
        <v>6.3</v>
      </c>
      <c r="J344" s="1">
        <f>IF(AND(ISNUMBER(F344),ISNUMBER(H344)),ROUND(F344*(1+H344),2),"")</f>
        <v>6.8</v>
      </c>
      <c r="K344" s="2">
        <f>IF(AND(ISNUMBER(I344),I344&gt;0,ISNUMBER(J344)),J344/I344-1,"")</f>
        <v>0.0793650793650793</v>
      </c>
      <c r="L344" t="s">
        <v>38</v>
      </c>
      <c r="M344" s="1">
        <v>6.3</v>
      </c>
      <c r="N344" s="1">
        <f>IF(AND(ISNUMBER(U344),U344&gt;0,ISNUMBER(J344)),ROUND(J344/U344,2),"")</f>
        <v>6.8</v>
      </c>
      <c r="Q344" t="s">
        <v>40</v>
      </c>
      <c r="R344" t="s">
        <v>39</v>
      </c>
      <c r="S344">
        <v>526813</v>
      </c>
      <c r="T344">
        <v>526813</v>
      </c>
      <c r="U344" s="3">
        <v>1</v>
      </c>
      <c r="X344" t="s">
        <v>41</v>
      </c>
      <c r="Z344" s="1">
        <v>6.3</v>
      </c>
      <c r="AA344" s="1">
        <f>IF(AND(ISNUMBER(Z344),ISNUMBER(I344),I344&gt;0,ISNUMBER(J344)),ROUND(Z344*J344/I344,2),"")</f>
        <v>6.8</v>
      </c>
      <c r="AB344" t="s">
        <v>42</v>
      </c>
      <c r="AC344" t="s">
        <v>43</v>
      </c>
      <c r="AD344" t="s">
        <v>44</v>
      </c>
      <c r="AE344" t="s">
        <v>45</v>
      </c>
    </row>
    <row r="345">
      <c r="A345">
        <v>805765</v>
      </c>
      <c r="B345">
        <v>805765</v>
      </c>
      <c r="C345" t="s">
        <v>671</v>
      </c>
      <c r="D345" t="s">
        <v>628</v>
      </c>
      <c r="E345" t="s">
        <v>672</v>
      </c>
      <c r="F345" s="1">
        <v>7</v>
      </c>
      <c r="G345" s="2">
        <v>0.4</v>
      </c>
      <c r="H345" s="2">
        <v>0.512</v>
      </c>
      <c r="I345" s="1">
        <v>9.8</v>
      </c>
      <c r="J345" s="1">
        <f>IF(AND(ISNUMBER(F345),ISNUMBER(H345)),ROUND(F345*(1+H345),2),"")</f>
        <v>10.58</v>
      </c>
      <c r="K345" s="2">
        <f>IF(AND(ISNUMBER(I345),I345&gt;0,ISNUMBER(J345)),J345/I345-1,"")</f>
        <v>0.07959183673469372</v>
      </c>
      <c r="L345" t="s">
        <v>38</v>
      </c>
      <c r="M345" s="1">
        <v>9.8</v>
      </c>
      <c r="N345" s="1">
        <f>IF(AND(ISNUMBER(U345),U345&gt;0,ISNUMBER(J345)),ROUND(J345/U345,2),"")</f>
        <v>10.58</v>
      </c>
      <c r="Q345" t="s">
        <v>40</v>
      </c>
      <c r="R345" t="s">
        <v>39</v>
      </c>
      <c r="S345">
        <v>526821</v>
      </c>
      <c r="T345">
        <v>526821</v>
      </c>
      <c r="U345" s="3">
        <v>1</v>
      </c>
      <c r="X345" t="s">
        <v>41</v>
      </c>
      <c r="Z345" s="1">
        <v>9.8</v>
      </c>
      <c r="AA345" s="1">
        <f>IF(AND(ISNUMBER(Z345),ISNUMBER(I345),I345&gt;0,ISNUMBER(J345)),ROUND(Z345*J345/I345,2),"")</f>
        <v>10.58</v>
      </c>
      <c r="AB345" t="s">
        <v>42</v>
      </c>
      <c r="AC345" t="s">
        <v>43</v>
      </c>
      <c r="AD345" t="s">
        <v>48</v>
      </c>
      <c r="AE345" t="s">
        <v>45</v>
      </c>
    </row>
    <row r="346">
      <c r="A346">
        <v>1023667</v>
      </c>
      <c r="B346">
        <v>1023667</v>
      </c>
      <c r="C346" t="s">
        <v>673</v>
      </c>
      <c r="D346" t="s">
        <v>628</v>
      </c>
      <c r="E346" t="s">
        <v>633</v>
      </c>
      <c r="F346" s="1">
        <v>33.1</v>
      </c>
      <c r="G346" s="2">
        <v>0.55</v>
      </c>
      <c r="H346" s="2">
        <v>0.674</v>
      </c>
      <c r="I346" s="1">
        <v>51.31</v>
      </c>
      <c r="J346" s="1">
        <f>IF(AND(ISNUMBER(F346),ISNUMBER(H346)),ROUND(F346*(1+H346),2),"")</f>
        <v>55.41</v>
      </c>
      <c r="K346" s="2">
        <f>IF(AND(ISNUMBER(I346),I346&gt;0,ISNUMBER(J346)),J346/I346-1,"")</f>
        <v>0.07990645098421356</v>
      </c>
      <c r="L346" t="s">
        <v>38</v>
      </c>
      <c r="N346" s="1" t="s">
        <f>IF(AND(ISNUMBER(U346),U346&gt;0,ISNUMBER(J346)),ROUND(J346/U346,2),"")</f>
        <v>39</v>
      </c>
      <c r="Q346" t="s">
        <v>40</v>
      </c>
      <c r="R346" t="s">
        <v>39</v>
      </c>
      <c r="S346">
        <v>811597</v>
      </c>
      <c r="T346">
        <v>811597</v>
      </c>
      <c r="X346" t="s">
        <v>41</v>
      </c>
      <c r="Z346" s="1">
        <v>51.31</v>
      </c>
      <c r="AA346" s="1">
        <f>IF(AND(ISNUMBER(Z346),ISNUMBER(I346),I346&gt;0,ISNUMBER(J346)),ROUND(Z346*J346/I346,2),"")</f>
        <v>55.41</v>
      </c>
      <c r="AB346" t="s">
        <v>42</v>
      </c>
      <c r="AC346" t="s">
        <v>134</v>
      </c>
      <c r="AD346" t="s">
        <v>48</v>
      </c>
      <c r="AE346" t="s">
        <v>45</v>
      </c>
    </row>
    <row r="347">
      <c r="A347">
        <v>1017942</v>
      </c>
      <c r="B347">
        <v>1017942</v>
      </c>
      <c r="C347" t="s">
        <v>674</v>
      </c>
      <c r="D347" t="s">
        <v>628</v>
      </c>
      <c r="E347" t="s">
        <v>633</v>
      </c>
      <c r="F347" s="1">
        <v>43.34</v>
      </c>
      <c r="G347" s="2">
        <v>0.55</v>
      </c>
      <c r="H347" s="2">
        <v>0.674</v>
      </c>
      <c r="I347" s="1">
        <v>67.18</v>
      </c>
      <c r="J347" s="1">
        <f>IF(AND(ISNUMBER(F347),ISNUMBER(H347)),ROUND(F347*(1+H347),2),"")</f>
        <v>72.55</v>
      </c>
      <c r="K347" s="2">
        <f>IF(AND(ISNUMBER(I347),I347&gt;0,ISNUMBER(J347)),J347/I347-1,"")</f>
        <v>0.07993450431676075</v>
      </c>
      <c r="L347" t="s">
        <v>38</v>
      </c>
      <c r="N347" s="1" t="s">
        <f>IF(AND(ISNUMBER(U347),U347&gt;0,ISNUMBER(J347)),ROUND(J347/U347,2),"")</f>
        <v>39</v>
      </c>
      <c r="Q347" t="s">
        <v>40</v>
      </c>
      <c r="R347" t="s">
        <v>39</v>
      </c>
      <c r="S347">
        <v>803346</v>
      </c>
      <c r="T347">
        <v>803346</v>
      </c>
      <c r="X347" t="s">
        <v>41</v>
      </c>
      <c r="Z347" s="1">
        <v>67.18</v>
      </c>
      <c r="AA347" s="1">
        <f>IF(AND(ISNUMBER(Z347),ISNUMBER(I347),I347&gt;0,ISNUMBER(J347)),ROUND(Z347*J347/I347,2),"")</f>
        <v>72.55</v>
      </c>
      <c r="AB347" t="s">
        <v>42</v>
      </c>
      <c r="AC347" t="s">
        <v>134</v>
      </c>
      <c r="AD347" t="s">
        <v>48</v>
      </c>
      <c r="AE347" t="s">
        <v>45</v>
      </c>
    </row>
    <row r="348">
      <c r="A348">
        <v>1049948</v>
      </c>
      <c r="B348">
        <v>1049948</v>
      </c>
      <c r="C348" t="s">
        <v>675</v>
      </c>
      <c r="D348" t="s">
        <v>628</v>
      </c>
      <c r="E348" t="s">
        <v>96</v>
      </c>
      <c r="F348" s="1">
        <v>2</v>
      </c>
      <c r="G348" s="2">
        <v>0.4</v>
      </c>
      <c r="H348" s="2">
        <v>0.512</v>
      </c>
      <c r="I348" s="1">
        <v>2.8</v>
      </c>
      <c r="J348" s="1">
        <f>IF(AND(ISNUMBER(F348),ISNUMBER(H348)),ROUND(F348*(1+H348),2),"")</f>
        <v>3.02</v>
      </c>
      <c r="K348" s="2">
        <f>IF(AND(ISNUMBER(I348),I348&gt;0,ISNUMBER(J348)),J348/I348-1,"")</f>
        <v>0.07857142857142874</v>
      </c>
      <c r="L348" t="s">
        <v>38</v>
      </c>
      <c r="N348" s="1" t="s">
        <f>IF(AND(ISNUMBER(U348),U348&gt;0,ISNUMBER(J348)),ROUND(J348/U348,2),"")</f>
        <v>39</v>
      </c>
      <c r="Q348" t="s">
        <v>40</v>
      </c>
      <c r="R348" t="s">
        <v>39</v>
      </c>
      <c r="S348">
        <v>854210</v>
      </c>
      <c r="T348">
        <v>854210</v>
      </c>
      <c r="X348" t="s">
        <v>41</v>
      </c>
      <c r="Z348" s="1">
        <v>2.8</v>
      </c>
      <c r="AA348" s="1">
        <f>IF(AND(ISNUMBER(Z348),ISNUMBER(I348),I348&gt;0,ISNUMBER(J348)),ROUND(Z348*J348/I348,2),"")</f>
        <v>3.02</v>
      </c>
      <c r="AB348" t="s">
        <v>42</v>
      </c>
      <c r="AC348" t="s">
        <v>43</v>
      </c>
      <c r="AD348" t="s">
        <v>44</v>
      </c>
      <c r="AE348" t="s">
        <v>45</v>
      </c>
    </row>
    <row r="349">
      <c r="A349">
        <v>1018199</v>
      </c>
      <c r="B349">
        <v>1018199</v>
      </c>
      <c r="C349" t="s">
        <v>676</v>
      </c>
      <c r="D349" t="s">
        <v>628</v>
      </c>
      <c r="E349" t="s">
        <v>92</v>
      </c>
      <c r="F349" s="1">
        <v>1.8</v>
      </c>
      <c r="G349" s="2">
        <v>0.4</v>
      </c>
      <c r="H349" s="2">
        <v>0.512</v>
      </c>
      <c r="I349" s="1">
        <v>2.52</v>
      </c>
      <c r="J349" s="1">
        <f>IF(AND(ISNUMBER(F349),ISNUMBER(H349)),ROUND(F349*(1+H349),2),"")</f>
        <v>2.72</v>
      </c>
      <c r="K349" s="2">
        <f>IF(AND(ISNUMBER(I349),I349&gt;0,ISNUMBER(J349)),J349/I349-1,"")</f>
        <v>0.07936507936507953</v>
      </c>
      <c r="L349" t="s">
        <v>38</v>
      </c>
      <c r="M349" s="1">
        <v>2.52</v>
      </c>
      <c r="N349" s="1">
        <f>IF(AND(ISNUMBER(U349),U349&gt;0,ISNUMBER(J349)),ROUND(J349/U349,2),"")</f>
        <v>2.72</v>
      </c>
      <c r="Q349" t="s">
        <v>40</v>
      </c>
      <c r="R349" t="s">
        <v>39</v>
      </c>
      <c r="S349">
        <v>803763</v>
      </c>
      <c r="T349">
        <v>803763</v>
      </c>
      <c r="U349" s="3">
        <v>1</v>
      </c>
      <c r="X349" t="s">
        <v>41</v>
      </c>
      <c r="Z349" s="1">
        <v>2.52</v>
      </c>
      <c r="AA349" s="1">
        <f>IF(AND(ISNUMBER(Z349),ISNUMBER(I349),I349&gt;0,ISNUMBER(J349)),ROUND(Z349*J349/I349,2),"")</f>
        <v>2.72</v>
      </c>
      <c r="AB349" t="s">
        <v>42</v>
      </c>
      <c r="AC349" t="s">
        <v>43</v>
      </c>
      <c r="AD349" t="s">
        <v>48</v>
      </c>
      <c r="AE349" t="s">
        <v>45</v>
      </c>
    </row>
    <row r="350">
      <c r="A350">
        <v>805764</v>
      </c>
      <c r="B350">
        <v>805764</v>
      </c>
      <c r="C350" t="s">
        <v>677</v>
      </c>
      <c r="D350" t="s">
        <v>628</v>
      </c>
      <c r="E350" t="s">
        <v>96</v>
      </c>
      <c r="F350" s="1">
        <v>1.5</v>
      </c>
      <c r="G350" s="2">
        <v>0.4</v>
      </c>
      <c r="H350" s="2">
        <v>0.512</v>
      </c>
      <c r="I350" s="1">
        <v>2.1</v>
      </c>
      <c r="J350" s="1">
        <f>IF(AND(ISNUMBER(F350),ISNUMBER(H350)),ROUND(F350*(1+H350),2),"")</f>
        <v>2.27</v>
      </c>
      <c r="K350" s="2">
        <f>IF(AND(ISNUMBER(I350),I350&gt;0,ISNUMBER(J350)),J350/I350-1,"")</f>
        <v>0.08095238095238089</v>
      </c>
      <c r="L350" t="s">
        <v>38</v>
      </c>
      <c r="N350" s="1" t="s">
        <f>IF(AND(ISNUMBER(U350),U350&gt;0,ISNUMBER(J350)),ROUND(J350/U350,2),"")</f>
        <v>39</v>
      </c>
      <c r="Q350" t="s">
        <v>40</v>
      </c>
      <c r="R350" t="s">
        <v>39</v>
      </c>
      <c r="S350">
        <v>526820</v>
      </c>
      <c r="T350">
        <v>526820</v>
      </c>
      <c r="X350" t="s">
        <v>41</v>
      </c>
      <c r="Z350" s="1">
        <v>2.1</v>
      </c>
      <c r="AA350" s="1">
        <f>IF(AND(ISNUMBER(Z350),ISNUMBER(I350),I350&gt;0,ISNUMBER(J350)),ROUND(Z350*J350/I350,2),"")</f>
        <v>2.27</v>
      </c>
      <c r="AB350" t="s">
        <v>42</v>
      </c>
      <c r="AC350" t="s">
        <v>43</v>
      </c>
      <c r="AD350" t="s">
        <v>48</v>
      </c>
      <c r="AE350" t="s">
        <v>45</v>
      </c>
    </row>
    <row r="351">
      <c r="A351">
        <v>805806</v>
      </c>
      <c r="B351">
        <v>805806</v>
      </c>
      <c r="C351" t="s">
        <v>678</v>
      </c>
      <c r="D351" t="s">
        <v>628</v>
      </c>
      <c r="E351" t="s">
        <v>100</v>
      </c>
      <c r="F351" s="1">
        <v>3.5</v>
      </c>
      <c r="G351" s="2">
        <v>0.4</v>
      </c>
      <c r="H351" s="2">
        <v>0.512</v>
      </c>
      <c r="I351" s="1">
        <v>4.9</v>
      </c>
      <c r="J351" s="1">
        <f>IF(AND(ISNUMBER(F351),ISNUMBER(H351)),ROUND(F351*(1+H351),2),"")</f>
        <v>5.29</v>
      </c>
      <c r="K351" s="2">
        <f>IF(AND(ISNUMBER(I351),I351&gt;0,ISNUMBER(J351)),J351/I351-1,"")</f>
        <v>0.07959183673469372</v>
      </c>
      <c r="L351" t="s">
        <v>38</v>
      </c>
      <c r="M351" s="1">
        <v>4.9</v>
      </c>
      <c r="N351" s="1">
        <f>IF(AND(ISNUMBER(U351),U351&gt;0,ISNUMBER(J351)),ROUND(J351/U351,2),"")</f>
        <v>5.29</v>
      </c>
      <c r="Q351" t="s">
        <v>40</v>
      </c>
      <c r="R351" t="s">
        <v>39</v>
      </c>
      <c r="S351">
        <v>526862</v>
      </c>
      <c r="T351">
        <v>526862</v>
      </c>
      <c r="U351" s="3">
        <v>1</v>
      </c>
      <c r="X351" t="s">
        <v>41</v>
      </c>
      <c r="Z351" s="1">
        <v>4.9</v>
      </c>
      <c r="AA351" s="1">
        <f>IF(AND(ISNUMBER(Z351),ISNUMBER(I351),I351&gt;0,ISNUMBER(J351)),ROUND(Z351*J351/I351,2),"")</f>
        <v>5.29</v>
      </c>
      <c r="AB351" t="s">
        <v>42</v>
      </c>
      <c r="AC351" t="s">
        <v>679</v>
      </c>
      <c r="AD351" t="s">
        <v>48</v>
      </c>
      <c r="AE351" t="s">
        <v>45</v>
      </c>
    </row>
    <row r="352">
      <c r="A352">
        <v>928528</v>
      </c>
      <c r="B352">
        <v>928528</v>
      </c>
      <c r="C352" t="s">
        <v>680</v>
      </c>
      <c r="D352" t="s">
        <v>628</v>
      </c>
      <c r="E352" t="s">
        <v>63</v>
      </c>
      <c r="F352" s="1">
        <v>4</v>
      </c>
      <c r="G352" s="2">
        <v>0.4</v>
      </c>
      <c r="H352" s="2">
        <v>0.512</v>
      </c>
      <c r="I352" s="1">
        <v>5.6</v>
      </c>
      <c r="J352" s="1">
        <f>IF(AND(ISNUMBER(F352),ISNUMBER(H352)),ROUND(F352*(1+H352),2),"")</f>
        <v>6.05</v>
      </c>
      <c r="K352" s="2">
        <f>IF(AND(ISNUMBER(I352),I352&gt;0,ISNUMBER(J352)),J352/I352-1,"")</f>
        <v>0.0803571428571428</v>
      </c>
      <c r="L352" t="s">
        <v>38</v>
      </c>
      <c r="N352" s="1" t="s">
        <f>IF(AND(ISNUMBER(U352),U352&gt;0,ISNUMBER(J352)),ROUND(J352/U352,2),"")</f>
        <v>39</v>
      </c>
      <c r="Q352" t="s">
        <v>40</v>
      </c>
      <c r="R352" t="s">
        <v>39</v>
      </c>
      <c r="S352">
        <v>676672</v>
      </c>
      <c r="T352">
        <v>676672</v>
      </c>
      <c r="X352" t="s">
        <v>41</v>
      </c>
      <c r="Z352" s="1">
        <v>5.6</v>
      </c>
      <c r="AA352" s="1">
        <f>IF(AND(ISNUMBER(Z352),ISNUMBER(I352),I352&gt;0,ISNUMBER(J352)),ROUND(Z352*J352/I352,2),"")</f>
        <v>6.05</v>
      </c>
      <c r="AB352" t="s">
        <v>42</v>
      </c>
      <c r="AC352" t="s">
        <v>43</v>
      </c>
      <c r="AD352" t="s">
        <v>48</v>
      </c>
      <c r="AE352" t="s">
        <v>45</v>
      </c>
    </row>
    <row r="353">
      <c r="A353">
        <v>832550</v>
      </c>
      <c r="B353">
        <v>832550</v>
      </c>
      <c r="C353" t="s">
        <v>681</v>
      </c>
      <c r="D353" t="s">
        <v>628</v>
      </c>
      <c r="E353" t="s">
        <v>63</v>
      </c>
      <c r="F353" s="1">
        <v>13</v>
      </c>
      <c r="G353" s="2">
        <v>0.4</v>
      </c>
      <c r="H353" s="2">
        <v>0.512</v>
      </c>
      <c r="I353" s="1">
        <v>18.2</v>
      </c>
      <c r="J353" s="1">
        <f>IF(AND(ISNUMBER(F353),ISNUMBER(H353)),ROUND(F353*(1+H353),2),"")</f>
        <v>19.66</v>
      </c>
      <c r="K353" s="2">
        <f>IF(AND(ISNUMBER(I353),I353&gt;0,ISNUMBER(J353)),J353/I353-1,"")</f>
        <v>0.08021978021978038</v>
      </c>
      <c r="L353" t="s">
        <v>38</v>
      </c>
      <c r="N353" s="1" t="s">
        <f>IF(AND(ISNUMBER(U353),U353&gt;0,ISNUMBER(J353)),ROUND(J353/U353,2),"")</f>
        <v>39</v>
      </c>
      <c r="Q353" t="s">
        <v>40</v>
      </c>
      <c r="R353" t="s">
        <v>39</v>
      </c>
      <c r="S353">
        <v>558207</v>
      </c>
      <c r="T353">
        <v>558207</v>
      </c>
      <c r="X353" t="s">
        <v>41</v>
      </c>
      <c r="Z353" s="1">
        <v>18.2</v>
      </c>
      <c r="AA353" s="1">
        <f>IF(AND(ISNUMBER(Z353),ISNUMBER(I353),I353&gt;0,ISNUMBER(J353)),ROUND(Z353*J353/I353,2),"")</f>
        <v>19.66</v>
      </c>
      <c r="AB353" t="s">
        <v>42</v>
      </c>
      <c r="AC353" t="s">
        <v>43</v>
      </c>
      <c r="AD353" t="s">
        <v>44</v>
      </c>
      <c r="AE353" t="s">
        <v>45</v>
      </c>
    </row>
    <row r="354">
      <c r="A354">
        <v>899373</v>
      </c>
      <c r="B354">
        <v>899373</v>
      </c>
      <c r="C354" t="s">
        <v>156</v>
      </c>
      <c r="D354" t="s">
        <v>628</v>
      </c>
      <c r="E354" t="s">
        <v>92</v>
      </c>
      <c r="F354" s="1">
        <v>2.2</v>
      </c>
      <c r="G354" s="2">
        <v>0.4</v>
      </c>
      <c r="H354" s="2">
        <v>0.512</v>
      </c>
      <c r="I354" s="1">
        <v>3.08</v>
      </c>
      <c r="J354" s="1">
        <f>IF(AND(ISNUMBER(F354),ISNUMBER(H354)),ROUND(F354*(1+H354),2),"")</f>
        <v>3.33</v>
      </c>
      <c r="K354" s="2">
        <f>IF(AND(ISNUMBER(I354),I354&gt;0,ISNUMBER(J354)),J354/I354-1,"")</f>
        <v>0.08116883116883122</v>
      </c>
      <c r="L354" t="s">
        <v>38</v>
      </c>
      <c r="M354" s="1">
        <v>3.08</v>
      </c>
      <c r="N354" s="1">
        <f>IF(AND(ISNUMBER(U354),U354&gt;0,ISNUMBER(J354)),ROUND(J354/U354,2),"")</f>
        <v>3.33</v>
      </c>
      <c r="Q354" t="s">
        <v>40</v>
      </c>
      <c r="R354" t="s">
        <v>39</v>
      </c>
      <c r="S354">
        <v>641157</v>
      </c>
      <c r="T354">
        <v>641157</v>
      </c>
      <c r="U354" s="3">
        <v>1</v>
      </c>
      <c r="X354" t="s">
        <v>41</v>
      </c>
      <c r="Z354" s="1">
        <v>3.08</v>
      </c>
      <c r="AA354" s="1">
        <f>IF(AND(ISNUMBER(Z354),ISNUMBER(I354),I354&gt;0,ISNUMBER(J354)),ROUND(Z354*J354/I354,2),"")</f>
        <v>3.33</v>
      </c>
      <c r="AB354" t="s">
        <v>42</v>
      </c>
      <c r="AC354" t="s">
        <v>43</v>
      </c>
      <c r="AD354" t="s">
        <v>48</v>
      </c>
      <c r="AE354" t="s">
        <v>45</v>
      </c>
    </row>
    <row r="355">
      <c r="A355">
        <v>812595</v>
      </c>
      <c r="B355">
        <v>812595</v>
      </c>
      <c r="C355" t="s">
        <v>682</v>
      </c>
      <c r="D355" t="s">
        <v>628</v>
      </c>
      <c r="E355" t="s">
        <v>63</v>
      </c>
      <c r="F355" s="1">
        <v>9</v>
      </c>
      <c r="G355" s="2">
        <v>0.4</v>
      </c>
      <c r="H355" s="2">
        <v>0.512</v>
      </c>
      <c r="I355" s="1">
        <v>12.6</v>
      </c>
      <c r="J355" s="1">
        <f>IF(AND(ISNUMBER(F355),ISNUMBER(H355)),ROUND(F355*(1+H355),2),"")</f>
        <v>13.61</v>
      </c>
      <c r="K355" s="2">
        <f>IF(AND(ISNUMBER(I355),I355&gt;0,ISNUMBER(J355)),J355/I355-1,"")</f>
        <v>0.0801587301587301</v>
      </c>
      <c r="L355" t="s">
        <v>38</v>
      </c>
      <c r="N355" s="1" t="s">
        <f>IF(AND(ISNUMBER(U355),U355&gt;0,ISNUMBER(J355)),ROUND(J355/U355,2),"")</f>
        <v>39</v>
      </c>
      <c r="Q355" t="s">
        <v>40</v>
      </c>
      <c r="R355" t="s">
        <v>39</v>
      </c>
      <c r="S355">
        <v>534463</v>
      </c>
      <c r="T355">
        <v>534463</v>
      </c>
      <c r="X355" t="s">
        <v>41</v>
      </c>
      <c r="Z355" s="1">
        <v>12.6</v>
      </c>
      <c r="AA355" s="1">
        <f>IF(AND(ISNUMBER(Z355),ISNUMBER(I355),I355&gt;0,ISNUMBER(J355)),ROUND(Z355*J355/I355,2),"")</f>
        <v>13.61</v>
      </c>
      <c r="AB355" t="s">
        <v>42</v>
      </c>
      <c r="AC355" t="s">
        <v>43</v>
      </c>
      <c r="AD355" t="s">
        <v>48</v>
      </c>
      <c r="AE355" t="s">
        <v>45</v>
      </c>
    </row>
    <row r="356">
      <c r="A356">
        <v>1071880</v>
      </c>
      <c r="B356">
        <v>1071880</v>
      </c>
      <c r="C356" t="s">
        <v>683</v>
      </c>
      <c r="D356" t="s">
        <v>628</v>
      </c>
      <c r="E356" t="s">
        <v>684</v>
      </c>
      <c r="J356" s="1" t="s">
        <f>IF(AND(ISNUMBER(F356),ISNUMBER(H356)),ROUND(F356*(1+H356),2),"")</f>
        <v>39</v>
      </c>
      <c r="K356" s="2" t="s">
        <f>IF(AND(ISNUMBER(I356),I356&gt;0,ISNUMBER(J356)),J356/I356-1,"")</f>
        <v>39</v>
      </c>
      <c r="L356" t="s">
        <v>38</v>
      </c>
      <c r="N356" s="1" t="s">
        <f>IF(AND(ISNUMBER(U356),U356&gt;0,ISNUMBER(J356)),ROUND(J356/U356,2),"")</f>
        <v>39</v>
      </c>
      <c r="Q356" t="s">
        <v>166</v>
      </c>
      <c r="R356" t="s">
        <v>39</v>
      </c>
      <c r="S356">
        <v>880836</v>
      </c>
      <c r="T356">
        <v>880836</v>
      </c>
      <c r="X356" t="s">
        <v>41</v>
      </c>
      <c r="AA356" s="1" t="s">
        <f>IF(AND(ISNUMBER(Z356),ISNUMBER(I356),I356&gt;0,ISNUMBER(J356)),ROUND(Z356*J356/I356,2),"")</f>
        <v>39</v>
      </c>
      <c r="AB356" t="s">
        <v>167</v>
      </c>
      <c r="AC356" t="s">
        <v>685</v>
      </c>
      <c r="AD356" t="s">
        <v>48</v>
      </c>
      <c r="AE356" t="s">
        <v>45</v>
      </c>
    </row>
    <row r="357">
      <c r="A357">
        <v>806012</v>
      </c>
      <c r="B357">
        <v>806012</v>
      </c>
      <c r="C357" t="s">
        <v>686</v>
      </c>
      <c r="D357" t="s">
        <v>628</v>
      </c>
      <c r="E357" t="s">
        <v>100</v>
      </c>
      <c r="F357" s="1">
        <v>2.5</v>
      </c>
      <c r="G357" s="2">
        <v>0.4</v>
      </c>
      <c r="H357" s="2">
        <v>0.512</v>
      </c>
      <c r="I357" s="1">
        <v>3.5</v>
      </c>
      <c r="J357" s="1">
        <f>IF(AND(ISNUMBER(F357),ISNUMBER(H357)),ROUND(F357*(1+H357),2),"")</f>
        <v>3.78</v>
      </c>
      <c r="K357" s="2">
        <f>IF(AND(ISNUMBER(I357),I357&gt;0,ISNUMBER(J357)),J357/I357-1,"")</f>
        <v>0.07999999999999985</v>
      </c>
      <c r="L357" t="s">
        <v>38</v>
      </c>
      <c r="M357" s="1">
        <v>3.5</v>
      </c>
      <c r="N357" s="1">
        <f>IF(AND(ISNUMBER(U357),U357&gt;0,ISNUMBER(J357)),ROUND(J357/U357,2),"")</f>
        <v>3.78</v>
      </c>
      <c r="Q357" t="s">
        <v>40</v>
      </c>
      <c r="R357" t="s">
        <v>39</v>
      </c>
      <c r="S357">
        <v>527072</v>
      </c>
      <c r="T357">
        <v>527072</v>
      </c>
      <c r="U357" s="3">
        <v>1</v>
      </c>
      <c r="X357" t="s">
        <v>41</v>
      </c>
      <c r="Z357" s="1">
        <v>3.5</v>
      </c>
      <c r="AA357" s="1">
        <f>IF(AND(ISNUMBER(Z357),ISNUMBER(I357),I357&gt;0,ISNUMBER(J357)),ROUND(Z357*J357/I357,2),"")</f>
        <v>3.78</v>
      </c>
      <c r="AB357" t="s">
        <v>42</v>
      </c>
      <c r="AC357" t="s">
        <v>43</v>
      </c>
      <c r="AD357" t="s">
        <v>48</v>
      </c>
      <c r="AE357" t="s">
        <v>45</v>
      </c>
    </row>
    <row r="358">
      <c r="A358">
        <v>1026140</v>
      </c>
      <c r="B358">
        <v>1026140</v>
      </c>
      <c r="C358" t="s">
        <v>687</v>
      </c>
      <c r="D358" t="s">
        <v>688</v>
      </c>
      <c r="E358" t="s">
        <v>689</v>
      </c>
      <c r="F358" s="1">
        <v>10.5</v>
      </c>
      <c r="G358" s="2">
        <v>0.4285714285714286</v>
      </c>
      <c r="H358" s="2">
        <v>0.5429</v>
      </c>
      <c r="I358" s="1">
        <v>15</v>
      </c>
      <c r="J358" s="1">
        <f>IF(AND(ISNUMBER(F358),ISNUMBER(H358)),ROUND(F358*(1+H358),2),"")</f>
        <v>16.2</v>
      </c>
      <c r="K358" s="2">
        <f>IF(AND(ISNUMBER(I358),I358&gt;0,ISNUMBER(J358)),J358/I358-1,"")</f>
        <v>0.07999999999999985</v>
      </c>
      <c r="L358" t="s">
        <v>38</v>
      </c>
      <c r="M358" s="1">
        <v>96</v>
      </c>
      <c r="N358" s="1">
        <f>IF(AND(ISNUMBER(U358),U358&gt;0,ISNUMBER(J358)),ROUND(J358/U358,2),"")</f>
        <v>103.68</v>
      </c>
      <c r="Q358" t="s">
        <v>40</v>
      </c>
      <c r="R358" t="s">
        <v>39</v>
      </c>
      <c r="S358">
        <v>815788</v>
      </c>
      <c r="T358">
        <v>815788</v>
      </c>
      <c r="U358" s="3">
        <v>0.15625</v>
      </c>
      <c r="X358" t="s">
        <v>41</v>
      </c>
      <c r="Z358" s="1">
        <v>15</v>
      </c>
      <c r="AA358" s="1">
        <f>IF(AND(ISNUMBER(Z358),ISNUMBER(I358),I358&gt;0,ISNUMBER(J358)),ROUND(Z358*J358/I358,2),"")</f>
        <v>16.2</v>
      </c>
      <c r="AB358" t="s">
        <v>690</v>
      </c>
      <c r="AC358" t="s">
        <v>691</v>
      </c>
      <c r="AD358" t="s">
        <v>44</v>
      </c>
      <c r="AE358" t="s">
        <v>45</v>
      </c>
    </row>
    <row r="359">
      <c r="A359">
        <v>1026142</v>
      </c>
      <c r="B359">
        <v>1026142</v>
      </c>
      <c r="C359" t="s">
        <v>692</v>
      </c>
      <c r="D359" t="s">
        <v>688</v>
      </c>
      <c r="E359" t="s">
        <v>689</v>
      </c>
      <c r="F359" s="1">
        <v>10.5</v>
      </c>
      <c r="G359" s="2">
        <v>0.4</v>
      </c>
      <c r="H359" s="2">
        <v>0.512</v>
      </c>
      <c r="I359" s="1">
        <v>14.7</v>
      </c>
      <c r="J359" s="1">
        <f>IF(AND(ISNUMBER(F359),ISNUMBER(H359)),ROUND(F359*(1+H359),2),"")</f>
        <v>15.88</v>
      </c>
      <c r="K359" s="2">
        <f>IF(AND(ISNUMBER(I359),I359&gt;0,ISNUMBER(J359)),J359/I359-1,"")</f>
        <v>0.08027210884353742</v>
      </c>
      <c r="L359" t="s">
        <v>38</v>
      </c>
      <c r="M359" s="1">
        <v>94.08</v>
      </c>
      <c r="N359" s="1">
        <f>IF(AND(ISNUMBER(U359),U359&gt;0,ISNUMBER(J359)),ROUND(J359/U359,2),"")</f>
        <v>101.63</v>
      </c>
      <c r="Q359" t="s">
        <v>40</v>
      </c>
      <c r="R359" t="s">
        <v>39</v>
      </c>
      <c r="S359">
        <v>815790</v>
      </c>
      <c r="T359">
        <v>815790</v>
      </c>
      <c r="U359" s="3">
        <v>0.15625</v>
      </c>
      <c r="X359" t="s">
        <v>41</v>
      </c>
      <c r="Z359" s="1">
        <v>14.7</v>
      </c>
      <c r="AA359" s="1">
        <f>IF(AND(ISNUMBER(Z359),ISNUMBER(I359),I359&gt;0,ISNUMBER(J359)),ROUND(Z359*J359/I359,2),"")</f>
        <v>15.88</v>
      </c>
      <c r="AB359" t="s">
        <v>42</v>
      </c>
      <c r="AC359" t="s">
        <v>43</v>
      </c>
      <c r="AD359" t="s">
        <v>44</v>
      </c>
      <c r="AE359" t="s">
        <v>45</v>
      </c>
    </row>
    <row r="360">
      <c r="A360">
        <v>1026141</v>
      </c>
      <c r="B360">
        <v>1026141</v>
      </c>
      <c r="C360" t="s">
        <v>693</v>
      </c>
      <c r="D360" t="s">
        <v>688</v>
      </c>
      <c r="E360" t="s">
        <v>689</v>
      </c>
      <c r="F360" s="1">
        <v>10.5</v>
      </c>
      <c r="G360" s="2">
        <v>0.4285714285714286</v>
      </c>
      <c r="H360" s="2">
        <v>0.5429</v>
      </c>
      <c r="I360" s="1">
        <v>15</v>
      </c>
      <c r="J360" s="1">
        <f>IF(AND(ISNUMBER(F360),ISNUMBER(H360)),ROUND(F360*(1+H360),2),"")</f>
        <v>16.2</v>
      </c>
      <c r="K360" s="2">
        <f>IF(AND(ISNUMBER(I360),I360&gt;0,ISNUMBER(J360)),J360/I360-1,"")</f>
        <v>0.07999999999999985</v>
      </c>
      <c r="L360" t="s">
        <v>38</v>
      </c>
      <c r="M360" s="1">
        <v>96</v>
      </c>
      <c r="N360" s="1">
        <f>IF(AND(ISNUMBER(U360),U360&gt;0,ISNUMBER(J360)),ROUND(J360/U360,2),"")</f>
        <v>103.68</v>
      </c>
      <c r="Q360" t="s">
        <v>40</v>
      </c>
      <c r="R360" t="s">
        <v>39</v>
      </c>
      <c r="S360">
        <v>815789</v>
      </c>
      <c r="T360">
        <v>815789</v>
      </c>
      <c r="U360" s="3">
        <v>0.15625</v>
      </c>
      <c r="X360" t="s">
        <v>41</v>
      </c>
      <c r="Z360" s="1">
        <v>15</v>
      </c>
      <c r="AA360" s="1">
        <f>IF(AND(ISNUMBER(Z360),ISNUMBER(I360),I360&gt;0,ISNUMBER(J360)),ROUND(Z360*J360/I360,2),"")</f>
        <v>16.2</v>
      </c>
      <c r="AB360" t="s">
        <v>690</v>
      </c>
      <c r="AC360" t="s">
        <v>691</v>
      </c>
      <c r="AD360" t="s">
        <v>44</v>
      </c>
      <c r="AE360" t="s">
        <v>45</v>
      </c>
    </row>
    <row r="361">
      <c r="A361">
        <v>1094879</v>
      </c>
      <c r="B361">
        <v>1094879</v>
      </c>
      <c r="C361" t="s">
        <v>694</v>
      </c>
      <c r="D361" t="s">
        <v>688</v>
      </c>
      <c r="E361" t="s">
        <v>695</v>
      </c>
      <c r="F361" s="1">
        <v>4.9</v>
      </c>
      <c r="G361" s="2">
        <v>0.4</v>
      </c>
      <c r="H361" s="2">
        <v>0.512</v>
      </c>
      <c r="I361" s="1">
        <v>6.86</v>
      </c>
      <c r="J361" s="1">
        <f>IF(AND(ISNUMBER(F361),ISNUMBER(H361)),ROUND(F361*(1+H361),2),"")</f>
        <v>7.41</v>
      </c>
      <c r="K361" s="2">
        <f>IF(AND(ISNUMBER(I361),I361&gt;0,ISNUMBER(J361)),J361/I361-1,"")</f>
        <v>0.08017492711370267</v>
      </c>
      <c r="L361" t="s">
        <v>38</v>
      </c>
      <c r="M361" s="1">
        <v>109.76</v>
      </c>
      <c r="N361" s="1">
        <f>IF(AND(ISNUMBER(U361),U361&gt;0,ISNUMBER(J361)),ROUND(J361/U361,2),"")</f>
        <v>118.56</v>
      </c>
      <c r="Q361" t="s">
        <v>40</v>
      </c>
      <c r="R361" t="s">
        <v>39</v>
      </c>
      <c r="S361">
        <v>909473</v>
      </c>
      <c r="T361">
        <v>909473</v>
      </c>
      <c r="U361" s="3">
        <v>0.0625</v>
      </c>
      <c r="X361" t="s">
        <v>41</v>
      </c>
      <c r="Z361" s="1">
        <v>6.86</v>
      </c>
      <c r="AA361" s="1">
        <f>IF(AND(ISNUMBER(Z361),ISNUMBER(I361),I361&gt;0,ISNUMBER(J361)),ROUND(Z361*J361/I361,2),"")</f>
        <v>7.41</v>
      </c>
      <c r="AB361" t="s">
        <v>42</v>
      </c>
      <c r="AC361" t="s">
        <v>43</v>
      </c>
      <c r="AD361" t="s">
        <v>48</v>
      </c>
      <c r="AE361" t="s">
        <v>45</v>
      </c>
    </row>
    <row r="362">
      <c r="A362">
        <v>1026136</v>
      </c>
      <c r="B362">
        <v>1026136</v>
      </c>
      <c r="C362" t="s">
        <v>696</v>
      </c>
      <c r="D362" t="s">
        <v>688</v>
      </c>
      <c r="E362" t="s">
        <v>697</v>
      </c>
      <c r="F362" s="1">
        <v>5.95</v>
      </c>
      <c r="G362" s="2">
        <v>0.3445378151260503</v>
      </c>
      <c r="H362" s="2">
        <v>0.4521</v>
      </c>
      <c r="I362" s="1">
        <v>8</v>
      </c>
      <c r="J362" s="1">
        <f>IF(AND(ISNUMBER(F362),ISNUMBER(H362)),ROUND(F362*(1+H362),2),"")</f>
        <v>8.64</v>
      </c>
      <c r="K362" s="2">
        <f>IF(AND(ISNUMBER(I362),I362&gt;0,ISNUMBER(J362)),J362/I362-1,"")</f>
        <v>0.08000000000000007</v>
      </c>
      <c r="L362" t="s">
        <v>38</v>
      </c>
      <c r="M362" s="1">
        <v>28.44</v>
      </c>
      <c r="N362" s="1">
        <f>IF(AND(ISNUMBER(U362),U362&gt;0,ISNUMBER(J362)),ROUND(J362/U362,2),"")</f>
        <v>30.72</v>
      </c>
      <c r="Q362" t="s">
        <v>40</v>
      </c>
      <c r="R362" t="s">
        <v>39</v>
      </c>
      <c r="S362">
        <v>815781</v>
      </c>
      <c r="T362">
        <v>815781</v>
      </c>
      <c r="U362" s="3">
        <v>0.28125</v>
      </c>
      <c r="X362" t="s">
        <v>41</v>
      </c>
      <c r="Z362" s="1">
        <v>8</v>
      </c>
      <c r="AA362" s="1">
        <f>IF(AND(ISNUMBER(Z362),ISNUMBER(I362),I362&gt;0,ISNUMBER(J362)),ROUND(Z362*J362/I362,2),"")</f>
        <v>8.64</v>
      </c>
      <c r="AB362" t="s">
        <v>698</v>
      </c>
      <c r="AC362" t="s">
        <v>699</v>
      </c>
      <c r="AD362" t="s">
        <v>48</v>
      </c>
      <c r="AE362" t="s">
        <v>45</v>
      </c>
    </row>
    <row r="363">
      <c r="A363">
        <v>1026134</v>
      </c>
      <c r="B363">
        <v>1026134</v>
      </c>
      <c r="C363" t="s">
        <v>700</v>
      </c>
      <c r="D363" t="s">
        <v>688</v>
      </c>
      <c r="E363" t="s">
        <v>697</v>
      </c>
      <c r="F363" s="1">
        <v>5.95</v>
      </c>
      <c r="G363" s="2">
        <v>0.3445378151260503</v>
      </c>
      <c r="H363" s="2">
        <v>0.4521</v>
      </c>
      <c r="I363" s="1">
        <v>8</v>
      </c>
      <c r="J363" s="1">
        <f>IF(AND(ISNUMBER(F363),ISNUMBER(H363)),ROUND(F363*(1+H363),2),"")</f>
        <v>8.64</v>
      </c>
      <c r="K363" s="2">
        <f>IF(AND(ISNUMBER(I363),I363&gt;0,ISNUMBER(J363)),J363/I363-1,"")</f>
        <v>0.08000000000000007</v>
      </c>
      <c r="L363" t="s">
        <v>38</v>
      </c>
      <c r="M363" s="1">
        <v>28.44</v>
      </c>
      <c r="N363" s="1">
        <f>IF(AND(ISNUMBER(U363),U363&gt;0,ISNUMBER(J363)),ROUND(J363/U363,2),"")</f>
        <v>30.72</v>
      </c>
      <c r="Q363" t="s">
        <v>40</v>
      </c>
      <c r="R363" t="s">
        <v>39</v>
      </c>
      <c r="S363">
        <v>815779</v>
      </c>
      <c r="T363">
        <v>815779</v>
      </c>
      <c r="U363" s="3">
        <v>0.28125</v>
      </c>
      <c r="X363" t="s">
        <v>41</v>
      </c>
      <c r="Z363" s="1">
        <v>8</v>
      </c>
      <c r="AA363" s="1">
        <f>IF(AND(ISNUMBER(Z363),ISNUMBER(I363),I363&gt;0,ISNUMBER(J363)),ROUND(Z363*J363/I363,2),"")</f>
        <v>8.64</v>
      </c>
      <c r="AB363" t="s">
        <v>698</v>
      </c>
      <c r="AC363" t="s">
        <v>699</v>
      </c>
      <c r="AD363" t="s">
        <v>44</v>
      </c>
      <c r="AE363" t="s">
        <v>45</v>
      </c>
    </row>
    <row r="364">
      <c r="A364">
        <v>1026135</v>
      </c>
      <c r="B364">
        <v>1026135</v>
      </c>
      <c r="C364" t="s">
        <v>701</v>
      </c>
      <c r="D364" t="s">
        <v>688</v>
      </c>
      <c r="E364" t="s">
        <v>697</v>
      </c>
      <c r="F364" s="1">
        <v>5.95</v>
      </c>
      <c r="G364" s="2">
        <v>0.3445378151260503</v>
      </c>
      <c r="H364" s="2">
        <v>0.4521</v>
      </c>
      <c r="I364" s="1">
        <v>8</v>
      </c>
      <c r="J364" s="1">
        <f>IF(AND(ISNUMBER(F364),ISNUMBER(H364)),ROUND(F364*(1+H364),2),"")</f>
        <v>8.64</v>
      </c>
      <c r="K364" s="2">
        <f>IF(AND(ISNUMBER(I364),I364&gt;0,ISNUMBER(J364)),J364/I364-1,"")</f>
        <v>0.08000000000000007</v>
      </c>
      <c r="L364" t="s">
        <v>38</v>
      </c>
      <c r="M364" s="1">
        <v>28.44</v>
      </c>
      <c r="N364" s="1">
        <f>IF(AND(ISNUMBER(U364),U364&gt;0,ISNUMBER(J364)),ROUND(J364/U364,2),"")</f>
        <v>30.72</v>
      </c>
      <c r="Q364" t="s">
        <v>40</v>
      </c>
      <c r="R364" t="s">
        <v>39</v>
      </c>
      <c r="S364">
        <v>815780</v>
      </c>
      <c r="T364">
        <v>815780</v>
      </c>
      <c r="U364" s="3">
        <v>0.28125</v>
      </c>
      <c r="X364" t="s">
        <v>41</v>
      </c>
      <c r="Z364" s="1">
        <v>8</v>
      </c>
      <c r="AA364" s="1">
        <f>IF(AND(ISNUMBER(Z364),ISNUMBER(I364),I364&gt;0,ISNUMBER(J364)),ROUND(Z364*J364/I364,2),"")</f>
        <v>8.64</v>
      </c>
      <c r="AB364" t="s">
        <v>698</v>
      </c>
      <c r="AC364" t="s">
        <v>699</v>
      </c>
      <c r="AD364" t="s">
        <v>48</v>
      </c>
      <c r="AE364" t="s">
        <v>45</v>
      </c>
    </row>
    <row r="365">
      <c r="A365">
        <v>1033694</v>
      </c>
      <c r="B365">
        <v>1033694</v>
      </c>
      <c r="C365" t="s">
        <v>702</v>
      </c>
      <c r="D365" t="s">
        <v>688</v>
      </c>
      <c r="E365" t="s">
        <v>697</v>
      </c>
      <c r="F365" s="1">
        <v>5.95</v>
      </c>
      <c r="G365" s="2">
        <v>0.3445378151260503</v>
      </c>
      <c r="H365" s="2">
        <v>0.4521</v>
      </c>
      <c r="I365" s="1">
        <v>8</v>
      </c>
      <c r="J365" s="1">
        <f>IF(AND(ISNUMBER(F365),ISNUMBER(H365)),ROUND(F365*(1+H365),2),"")</f>
        <v>8.64</v>
      </c>
      <c r="K365" s="2">
        <f>IF(AND(ISNUMBER(I365),I365&gt;0,ISNUMBER(J365)),J365/I365-1,"")</f>
        <v>0.08000000000000007</v>
      </c>
      <c r="L365" t="s">
        <v>38</v>
      </c>
      <c r="M365" s="1">
        <v>28.44</v>
      </c>
      <c r="N365" s="1">
        <f>IF(AND(ISNUMBER(U365),U365&gt;0,ISNUMBER(J365)),ROUND(J365/U365,2),"")</f>
        <v>30.72</v>
      </c>
      <c r="Q365" t="s">
        <v>40</v>
      </c>
      <c r="R365" t="s">
        <v>39</v>
      </c>
      <c r="S365">
        <v>829893</v>
      </c>
      <c r="T365">
        <v>829893</v>
      </c>
      <c r="U365" s="3">
        <v>0.28125</v>
      </c>
      <c r="X365" t="s">
        <v>41</v>
      </c>
      <c r="Z365" s="1">
        <v>8</v>
      </c>
      <c r="AA365" s="1">
        <f>IF(AND(ISNUMBER(Z365),ISNUMBER(I365),I365&gt;0,ISNUMBER(J365)),ROUND(Z365*J365/I365,2),"")</f>
        <v>8.64</v>
      </c>
      <c r="AB365" t="s">
        <v>698</v>
      </c>
      <c r="AC365" t="s">
        <v>699</v>
      </c>
      <c r="AD365" t="s">
        <v>48</v>
      </c>
      <c r="AE365" t="s">
        <v>45</v>
      </c>
    </row>
    <row r="366">
      <c r="A366">
        <v>1026139</v>
      </c>
      <c r="B366">
        <v>1026139</v>
      </c>
      <c r="C366" t="s">
        <v>703</v>
      </c>
      <c r="D366" t="s">
        <v>688</v>
      </c>
      <c r="E366" t="s">
        <v>697</v>
      </c>
      <c r="F366" s="1">
        <v>5.95</v>
      </c>
      <c r="G366" s="2">
        <v>0.3445378151260503</v>
      </c>
      <c r="H366" s="2">
        <v>0.4521</v>
      </c>
      <c r="I366" s="1">
        <v>8</v>
      </c>
      <c r="J366" s="1">
        <f>IF(AND(ISNUMBER(F366),ISNUMBER(H366)),ROUND(F366*(1+H366),2),"")</f>
        <v>8.64</v>
      </c>
      <c r="K366" s="2">
        <f>IF(AND(ISNUMBER(I366),I366&gt;0,ISNUMBER(J366)),J366/I366-1,"")</f>
        <v>0.08000000000000007</v>
      </c>
      <c r="L366" t="s">
        <v>38</v>
      </c>
      <c r="N366" s="1" t="s">
        <f>IF(AND(ISNUMBER(U366),U366&gt;0,ISNUMBER(J366)),ROUND(J366/U366,2),"")</f>
        <v>39</v>
      </c>
      <c r="Q366" t="s">
        <v>40</v>
      </c>
      <c r="R366" t="s">
        <v>39</v>
      </c>
      <c r="S366">
        <v>815785</v>
      </c>
      <c r="T366">
        <v>815785</v>
      </c>
      <c r="X366" t="s">
        <v>41</v>
      </c>
      <c r="Z366" s="1">
        <v>8</v>
      </c>
      <c r="AA366" s="1">
        <f>IF(AND(ISNUMBER(Z366),ISNUMBER(I366),I366&gt;0,ISNUMBER(J366)),ROUND(Z366*J366/I366,2),"")</f>
        <v>8.64</v>
      </c>
      <c r="AB366" t="s">
        <v>698</v>
      </c>
      <c r="AC366" t="s">
        <v>699</v>
      </c>
      <c r="AD366" t="s">
        <v>48</v>
      </c>
      <c r="AE366" t="s">
        <v>45</v>
      </c>
    </row>
    <row r="367">
      <c r="A367">
        <v>1057489</v>
      </c>
      <c r="B367">
        <v>1057489</v>
      </c>
      <c r="C367" t="s">
        <v>704</v>
      </c>
      <c r="D367" t="s">
        <v>688</v>
      </c>
      <c r="E367" t="s">
        <v>697</v>
      </c>
      <c r="F367" s="1">
        <v>5.95</v>
      </c>
      <c r="G367" s="2">
        <v>0.3445378151260503</v>
      </c>
      <c r="H367" s="2">
        <v>0.4521</v>
      </c>
      <c r="I367" s="1">
        <v>8</v>
      </c>
      <c r="J367" s="1">
        <f>IF(AND(ISNUMBER(F367),ISNUMBER(H367)),ROUND(F367*(1+H367),2),"")</f>
        <v>8.64</v>
      </c>
      <c r="K367" s="2">
        <f>IF(AND(ISNUMBER(I367),I367&gt;0,ISNUMBER(J367)),J367/I367-1,"")</f>
        <v>0.08000000000000007</v>
      </c>
      <c r="L367" t="s">
        <v>38</v>
      </c>
      <c r="M367" s="1">
        <v>28.44</v>
      </c>
      <c r="N367" s="1">
        <f>IF(AND(ISNUMBER(U367),U367&gt;0,ISNUMBER(J367)),ROUND(J367/U367,2),"")</f>
        <v>30.72</v>
      </c>
      <c r="Q367" t="s">
        <v>40</v>
      </c>
      <c r="R367" t="s">
        <v>39</v>
      </c>
      <c r="S367">
        <v>863250</v>
      </c>
      <c r="T367">
        <v>863250</v>
      </c>
      <c r="U367" s="3">
        <v>0.28125</v>
      </c>
      <c r="X367" t="s">
        <v>41</v>
      </c>
      <c r="Z367" s="1">
        <v>8</v>
      </c>
      <c r="AA367" s="1">
        <f>IF(AND(ISNUMBER(Z367),ISNUMBER(I367),I367&gt;0,ISNUMBER(J367)),ROUND(Z367*J367/I367,2),"")</f>
        <v>8.64</v>
      </c>
      <c r="AB367" t="s">
        <v>698</v>
      </c>
      <c r="AC367" t="s">
        <v>699</v>
      </c>
      <c r="AD367" t="s">
        <v>44</v>
      </c>
      <c r="AE367" t="s">
        <v>45</v>
      </c>
    </row>
    <row r="368">
      <c r="A368">
        <v>1026137</v>
      </c>
      <c r="B368">
        <v>1026137</v>
      </c>
      <c r="C368" t="s">
        <v>705</v>
      </c>
      <c r="D368" t="s">
        <v>688</v>
      </c>
      <c r="E368" t="s">
        <v>697</v>
      </c>
      <c r="F368" s="1">
        <v>5.95</v>
      </c>
      <c r="G368" s="2">
        <v>0.3445378151260503</v>
      </c>
      <c r="H368" s="2">
        <v>0.4521</v>
      </c>
      <c r="I368" s="1">
        <v>8</v>
      </c>
      <c r="J368" s="1">
        <f>IF(AND(ISNUMBER(F368),ISNUMBER(H368)),ROUND(F368*(1+H368),2),"")</f>
        <v>8.64</v>
      </c>
      <c r="K368" s="2">
        <f>IF(AND(ISNUMBER(I368),I368&gt;0,ISNUMBER(J368)),J368/I368-1,"")</f>
        <v>0.08000000000000007</v>
      </c>
      <c r="L368" t="s">
        <v>38</v>
      </c>
      <c r="M368" s="1">
        <v>28.44</v>
      </c>
      <c r="N368" s="1">
        <f>IF(AND(ISNUMBER(U368),U368&gt;0,ISNUMBER(J368)),ROUND(J368/U368,2),"")</f>
        <v>30.72</v>
      </c>
      <c r="Q368" t="s">
        <v>40</v>
      </c>
      <c r="R368" t="s">
        <v>39</v>
      </c>
      <c r="S368">
        <v>815782</v>
      </c>
      <c r="T368">
        <v>815782</v>
      </c>
      <c r="U368" s="3">
        <v>0.28125</v>
      </c>
      <c r="X368" t="s">
        <v>41</v>
      </c>
      <c r="Z368" s="1">
        <v>8</v>
      </c>
      <c r="AA368" s="1">
        <f>IF(AND(ISNUMBER(Z368),ISNUMBER(I368),I368&gt;0,ISNUMBER(J368)),ROUND(Z368*J368/I368,2),"")</f>
        <v>8.64</v>
      </c>
      <c r="AB368" t="s">
        <v>698</v>
      </c>
      <c r="AC368" t="s">
        <v>699</v>
      </c>
      <c r="AD368" t="s">
        <v>44</v>
      </c>
      <c r="AE368" t="s">
        <v>45</v>
      </c>
    </row>
    <row r="369">
      <c r="A369">
        <v>1094108</v>
      </c>
      <c r="B369">
        <v>1094108</v>
      </c>
      <c r="C369" t="s">
        <v>706</v>
      </c>
      <c r="D369" t="s">
        <v>688</v>
      </c>
      <c r="E369" t="s">
        <v>707</v>
      </c>
      <c r="F369" s="1">
        <v>5.95</v>
      </c>
      <c r="G369" s="2">
        <v>0.4</v>
      </c>
      <c r="H369" s="2">
        <v>0.512</v>
      </c>
      <c r="I369" s="1">
        <v>8.33</v>
      </c>
      <c r="J369" s="1">
        <f>IF(AND(ISNUMBER(F369),ISNUMBER(H369)),ROUND(F369*(1+H369),2),"")</f>
        <v>9</v>
      </c>
      <c r="K369" s="2">
        <f>IF(AND(ISNUMBER(I369),I369&gt;0,ISNUMBER(J369)),J369/I369-1,"")</f>
        <v>0.08043217286914772</v>
      </c>
      <c r="L369" t="s">
        <v>38</v>
      </c>
      <c r="M369" s="1">
        <v>266.56</v>
      </c>
      <c r="N369" s="1">
        <f>IF(AND(ISNUMBER(U369),U369&gt;0,ISNUMBER(J369)),ROUND(J369/U369,2),"")</f>
        <v>288</v>
      </c>
      <c r="Q369" t="s">
        <v>40</v>
      </c>
      <c r="R369" t="s">
        <v>39</v>
      </c>
      <c r="S369">
        <v>908490</v>
      </c>
      <c r="T369">
        <v>908490</v>
      </c>
      <c r="U369" s="3">
        <v>0.03125</v>
      </c>
      <c r="X369" t="s">
        <v>41</v>
      </c>
      <c r="Z369" s="1">
        <v>8.33</v>
      </c>
      <c r="AA369" s="1">
        <f>IF(AND(ISNUMBER(Z369),ISNUMBER(I369),I369&gt;0,ISNUMBER(J369)),ROUND(Z369*J369/I369,2),"")</f>
        <v>9</v>
      </c>
      <c r="AB369" t="s">
        <v>42</v>
      </c>
      <c r="AC369" t="s">
        <v>43</v>
      </c>
      <c r="AD369" t="s">
        <v>44</v>
      </c>
      <c r="AE369" t="s">
        <v>45</v>
      </c>
    </row>
    <row r="370">
      <c r="A370">
        <v>1022551</v>
      </c>
      <c r="B370">
        <v>1022551</v>
      </c>
      <c r="C370" t="s">
        <v>708</v>
      </c>
      <c r="D370" t="s">
        <v>688</v>
      </c>
      <c r="E370" t="s">
        <v>709</v>
      </c>
      <c r="F370" s="1">
        <v>4.9</v>
      </c>
      <c r="G370" s="2">
        <v>0.4285714285714284</v>
      </c>
      <c r="H370" s="2">
        <v>0.5429</v>
      </c>
      <c r="I370" s="1">
        <v>7</v>
      </c>
      <c r="J370" s="1">
        <f>IF(AND(ISNUMBER(F370),ISNUMBER(H370)),ROUND(F370*(1+H370),2),"")</f>
        <v>7.56</v>
      </c>
      <c r="K370" s="2">
        <f>IF(AND(ISNUMBER(I370),I370&gt;0,ISNUMBER(J370)),J370/I370-1,"")</f>
        <v>0.07999999999999985</v>
      </c>
      <c r="L370" t="s">
        <v>38</v>
      </c>
      <c r="M370" s="1">
        <v>320</v>
      </c>
      <c r="N370" s="1">
        <f>IF(AND(ISNUMBER(U370),U370&gt;0,ISNUMBER(J370)),ROUND(J370/U370,2),"")</f>
        <v>345.6</v>
      </c>
      <c r="Q370" t="s">
        <v>40</v>
      </c>
      <c r="R370" t="s">
        <v>39</v>
      </c>
      <c r="S370">
        <v>810070</v>
      </c>
      <c r="T370">
        <v>810070</v>
      </c>
      <c r="U370" s="3">
        <v>0.021875</v>
      </c>
      <c r="X370" t="s">
        <v>41</v>
      </c>
      <c r="Z370" s="1">
        <v>7</v>
      </c>
      <c r="AA370" s="1">
        <f>IF(AND(ISNUMBER(Z370),ISNUMBER(I370),I370&gt;0,ISNUMBER(J370)),ROUND(Z370*J370/I370,2),"")</f>
        <v>7.56</v>
      </c>
      <c r="AB370" t="s">
        <v>710</v>
      </c>
      <c r="AC370" t="s">
        <v>711</v>
      </c>
      <c r="AD370" t="s">
        <v>44</v>
      </c>
      <c r="AE370" t="s">
        <v>45</v>
      </c>
    </row>
    <row r="371">
      <c r="A371">
        <v>1127322</v>
      </c>
      <c r="B371">
        <v>1127322</v>
      </c>
      <c r="C371" t="s">
        <v>712</v>
      </c>
      <c r="D371" t="s">
        <v>688</v>
      </c>
      <c r="E371" t="s">
        <v>707</v>
      </c>
      <c r="F371" s="1">
        <v>5.95</v>
      </c>
      <c r="G371" s="2">
        <v>0.4</v>
      </c>
      <c r="H371" s="2">
        <v>0.512</v>
      </c>
      <c r="I371" s="1">
        <v>8.33</v>
      </c>
      <c r="J371" s="1">
        <f>IF(AND(ISNUMBER(F371),ISNUMBER(H371)),ROUND(F371*(1+H371),2),"")</f>
        <v>9</v>
      </c>
      <c r="K371" s="2">
        <f>IF(AND(ISNUMBER(I371),I371&gt;0,ISNUMBER(J371)),J371/I371-1,"")</f>
        <v>0.08043217286914772</v>
      </c>
      <c r="L371" t="s">
        <v>38</v>
      </c>
      <c r="M371" s="1">
        <v>266.56</v>
      </c>
      <c r="N371" s="1">
        <f>IF(AND(ISNUMBER(U371),U371&gt;0,ISNUMBER(J371)),ROUND(J371/U371,2),"")</f>
        <v>288</v>
      </c>
      <c r="Q371" t="s">
        <v>40</v>
      </c>
      <c r="R371" t="s">
        <v>39</v>
      </c>
      <c r="S371">
        <v>960324</v>
      </c>
      <c r="T371">
        <v>960324</v>
      </c>
      <c r="U371" s="3">
        <v>0.03125</v>
      </c>
      <c r="X371" t="s">
        <v>41</v>
      </c>
      <c r="Z371" s="1">
        <v>8.33</v>
      </c>
      <c r="AA371" s="1">
        <f>IF(AND(ISNUMBER(Z371),ISNUMBER(I371),I371&gt;0,ISNUMBER(J371)),ROUND(Z371*J371/I371,2),"")</f>
        <v>9</v>
      </c>
      <c r="AB371" t="s">
        <v>42</v>
      </c>
      <c r="AC371" t="s">
        <v>43</v>
      </c>
      <c r="AD371" t="s">
        <v>44</v>
      </c>
      <c r="AE371" t="s">
        <v>45</v>
      </c>
    </row>
    <row r="372">
      <c r="A372">
        <v>1127318</v>
      </c>
      <c r="B372">
        <v>1127318</v>
      </c>
      <c r="C372" t="s">
        <v>713</v>
      </c>
      <c r="D372" t="s">
        <v>688</v>
      </c>
      <c r="E372" t="s">
        <v>709</v>
      </c>
      <c r="F372" s="1">
        <v>4.2</v>
      </c>
      <c r="G372" s="2">
        <v>0.4</v>
      </c>
      <c r="H372" s="2">
        <v>0.512</v>
      </c>
      <c r="I372" s="1">
        <v>5.88</v>
      </c>
      <c r="J372" s="1">
        <f>IF(AND(ISNUMBER(F372),ISNUMBER(H372)),ROUND(F372*(1+H372),2),"")</f>
        <v>6.35</v>
      </c>
      <c r="K372" s="2">
        <f>IF(AND(ISNUMBER(I372),I372&gt;0,ISNUMBER(J372)),J372/I372-1,"")</f>
        <v>0.07993197278911568</v>
      </c>
      <c r="L372" t="s">
        <v>38</v>
      </c>
      <c r="N372" s="1" t="s">
        <f>IF(AND(ISNUMBER(U372),U372&gt;0,ISNUMBER(J372)),ROUND(J372/U372,2),"")</f>
        <v>39</v>
      </c>
      <c r="Q372" t="s">
        <v>40</v>
      </c>
      <c r="R372" t="s">
        <v>39</v>
      </c>
      <c r="S372">
        <v>960320</v>
      </c>
      <c r="T372">
        <v>960320</v>
      </c>
      <c r="X372" t="s">
        <v>41</v>
      </c>
      <c r="Z372" s="1">
        <v>5.88</v>
      </c>
      <c r="AA372" s="1">
        <f>IF(AND(ISNUMBER(Z372),ISNUMBER(I372),I372&gt;0,ISNUMBER(J372)),ROUND(Z372*J372/I372,2),"")</f>
        <v>6.35</v>
      </c>
      <c r="AB372" t="s">
        <v>42</v>
      </c>
      <c r="AC372" t="s">
        <v>43</v>
      </c>
      <c r="AD372" t="s">
        <v>48</v>
      </c>
      <c r="AE372" t="s">
        <v>45</v>
      </c>
    </row>
    <row r="373">
      <c r="A373">
        <v>1127319</v>
      </c>
      <c r="B373">
        <v>1127319</v>
      </c>
      <c r="C373" t="s">
        <v>714</v>
      </c>
      <c r="D373" t="s">
        <v>688</v>
      </c>
      <c r="E373" t="s">
        <v>707</v>
      </c>
      <c r="F373" s="1">
        <v>5.95</v>
      </c>
      <c r="G373" s="2">
        <v>0.4</v>
      </c>
      <c r="H373" s="2">
        <v>0.512</v>
      </c>
      <c r="I373" s="1">
        <v>8.33</v>
      </c>
      <c r="J373" s="1">
        <f>IF(AND(ISNUMBER(F373),ISNUMBER(H373)),ROUND(F373*(1+H373),2),"")</f>
        <v>9</v>
      </c>
      <c r="K373" s="2">
        <f>IF(AND(ISNUMBER(I373),I373&gt;0,ISNUMBER(J373)),J373/I373-1,"")</f>
        <v>0.08043217286914772</v>
      </c>
      <c r="L373" t="s">
        <v>38</v>
      </c>
      <c r="M373" s="1">
        <v>266.56</v>
      </c>
      <c r="N373" s="1">
        <f>IF(AND(ISNUMBER(U373),U373&gt;0,ISNUMBER(J373)),ROUND(J373/U373,2),"")</f>
        <v>288</v>
      </c>
      <c r="Q373" t="s">
        <v>40</v>
      </c>
      <c r="R373" t="s">
        <v>39</v>
      </c>
      <c r="S373">
        <v>960321</v>
      </c>
      <c r="T373">
        <v>960321</v>
      </c>
      <c r="U373" s="3">
        <v>0.03125</v>
      </c>
      <c r="X373" t="s">
        <v>41</v>
      </c>
      <c r="Z373" s="1">
        <v>8.33</v>
      </c>
      <c r="AA373" s="1">
        <f>IF(AND(ISNUMBER(Z373),ISNUMBER(I373),I373&gt;0,ISNUMBER(J373)),ROUND(Z373*J373/I373,2),"")</f>
        <v>9</v>
      </c>
      <c r="AB373" t="s">
        <v>42</v>
      </c>
      <c r="AC373" t="s">
        <v>43</v>
      </c>
      <c r="AD373" t="s">
        <v>44</v>
      </c>
      <c r="AE373" t="s">
        <v>45</v>
      </c>
    </row>
    <row r="374">
      <c r="A374">
        <v>1127321</v>
      </c>
      <c r="B374">
        <v>1127321</v>
      </c>
      <c r="C374" t="s">
        <v>715</v>
      </c>
      <c r="D374" t="s">
        <v>688</v>
      </c>
      <c r="E374" t="s">
        <v>709</v>
      </c>
      <c r="F374" s="1">
        <v>4.2</v>
      </c>
      <c r="G374" s="2">
        <v>0.4</v>
      </c>
      <c r="H374" s="2">
        <v>0.512</v>
      </c>
      <c r="I374" s="1">
        <v>5.88</v>
      </c>
      <c r="J374" s="1">
        <f>IF(AND(ISNUMBER(F374),ISNUMBER(H374)),ROUND(F374*(1+H374),2),"")</f>
        <v>6.35</v>
      </c>
      <c r="K374" s="2">
        <f>IF(AND(ISNUMBER(I374),I374&gt;0,ISNUMBER(J374)),J374/I374-1,"")</f>
        <v>0.07993197278911568</v>
      </c>
      <c r="L374" t="s">
        <v>38</v>
      </c>
      <c r="M374" s="1">
        <v>268.8</v>
      </c>
      <c r="N374" s="1">
        <f>IF(AND(ISNUMBER(U374),U374&gt;0,ISNUMBER(J374)),ROUND(J374/U374,2),"")</f>
        <v>290.29</v>
      </c>
      <c r="Q374" t="s">
        <v>40</v>
      </c>
      <c r="R374" t="s">
        <v>39</v>
      </c>
      <c r="S374">
        <v>960323</v>
      </c>
      <c r="T374">
        <v>960323</v>
      </c>
      <c r="U374" s="3">
        <v>0.021875</v>
      </c>
      <c r="X374" t="s">
        <v>41</v>
      </c>
      <c r="Z374" s="1">
        <v>5.88</v>
      </c>
      <c r="AA374" s="1">
        <f>IF(AND(ISNUMBER(Z374),ISNUMBER(I374),I374&gt;0,ISNUMBER(J374)),ROUND(Z374*J374/I374,2),"")</f>
        <v>6.35</v>
      </c>
      <c r="AB374" t="s">
        <v>42</v>
      </c>
      <c r="AC374" t="s">
        <v>43</v>
      </c>
      <c r="AD374" t="s">
        <v>44</v>
      </c>
      <c r="AE374" t="s">
        <v>45</v>
      </c>
    </row>
    <row r="375">
      <c r="A375">
        <v>1094107</v>
      </c>
      <c r="B375">
        <v>1094107</v>
      </c>
      <c r="C375" t="s">
        <v>716</v>
      </c>
      <c r="D375" t="s">
        <v>688</v>
      </c>
      <c r="E375" t="s">
        <v>697</v>
      </c>
      <c r="F375" s="1">
        <v>5.95</v>
      </c>
      <c r="G375" s="2">
        <v>0.3445378151260503</v>
      </c>
      <c r="H375" s="2">
        <v>0.4521</v>
      </c>
      <c r="I375" s="1">
        <v>8</v>
      </c>
      <c r="J375" s="1">
        <f>IF(AND(ISNUMBER(F375),ISNUMBER(H375)),ROUND(F375*(1+H375),2),"")</f>
        <v>8.64</v>
      </c>
      <c r="K375" s="2">
        <f>IF(AND(ISNUMBER(I375),I375&gt;0,ISNUMBER(J375)),J375/I375-1,"")</f>
        <v>0.08000000000000007</v>
      </c>
      <c r="L375" t="s">
        <v>38</v>
      </c>
      <c r="M375" s="1">
        <v>28.44</v>
      </c>
      <c r="N375" s="1">
        <f>IF(AND(ISNUMBER(U375),U375&gt;0,ISNUMBER(J375)),ROUND(J375/U375,2),"")</f>
        <v>30.72</v>
      </c>
      <c r="Q375" t="s">
        <v>40</v>
      </c>
      <c r="R375" t="s">
        <v>39</v>
      </c>
      <c r="S375">
        <v>908489</v>
      </c>
      <c r="T375">
        <v>908489</v>
      </c>
      <c r="U375" s="3">
        <v>0.28125</v>
      </c>
      <c r="X375" t="s">
        <v>41</v>
      </c>
      <c r="Z375" s="1">
        <v>8</v>
      </c>
      <c r="AA375" s="1">
        <f>IF(AND(ISNUMBER(Z375),ISNUMBER(I375),I375&gt;0,ISNUMBER(J375)),ROUND(Z375*J375/I375,2),"")</f>
        <v>8.64</v>
      </c>
      <c r="AB375" t="s">
        <v>698</v>
      </c>
      <c r="AC375" t="s">
        <v>699</v>
      </c>
      <c r="AD375" t="s">
        <v>48</v>
      </c>
      <c r="AE375" t="s">
        <v>45</v>
      </c>
    </row>
    <row r="376">
      <c r="A376">
        <v>1122286</v>
      </c>
      <c r="B376">
        <v>1122286</v>
      </c>
      <c r="C376" t="s">
        <v>717</v>
      </c>
      <c r="D376" t="s">
        <v>718</v>
      </c>
      <c r="E376" t="s">
        <v>719</v>
      </c>
      <c r="F376" s="1">
        <v>4</v>
      </c>
      <c r="G376" s="2">
        <v>0.4</v>
      </c>
      <c r="H376" s="2">
        <v>0.512</v>
      </c>
      <c r="I376" s="1">
        <v>5.6</v>
      </c>
      <c r="J376" s="1">
        <f>IF(AND(ISNUMBER(F376),ISNUMBER(H376)),ROUND(F376*(1+H376),2),"")</f>
        <v>6.05</v>
      </c>
      <c r="K376" s="2">
        <f>IF(AND(ISNUMBER(I376),I376&gt;0,ISNUMBER(J376)),J376/I376-1,"")</f>
        <v>0.0803571428571428</v>
      </c>
      <c r="L376" t="s">
        <v>38</v>
      </c>
      <c r="N376" s="1" t="s">
        <f>IF(AND(ISNUMBER(U376),U376&gt;0,ISNUMBER(J376)),ROUND(J376/U376,2),"")</f>
        <v>39</v>
      </c>
      <c r="Q376" t="s">
        <v>40</v>
      </c>
      <c r="R376" t="s">
        <v>39</v>
      </c>
      <c r="S376">
        <v>950716</v>
      </c>
      <c r="T376">
        <v>950716</v>
      </c>
      <c r="X376" t="s">
        <v>41</v>
      </c>
      <c r="Z376" s="1">
        <v>5.6</v>
      </c>
      <c r="AA376" s="1">
        <f>IF(AND(ISNUMBER(Z376),ISNUMBER(I376),I376&gt;0,ISNUMBER(J376)),ROUND(Z376*J376/I376,2),"")</f>
        <v>6.05</v>
      </c>
      <c r="AB376" t="s">
        <v>42</v>
      </c>
      <c r="AC376" t="s">
        <v>43</v>
      </c>
      <c r="AD376" t="s">
        <v>48</v>
      </c>
      <c r="AE376" t="s">
        <v>45</v>
      </c>
    </row>
    <row r="377">
      <c r="A377">
        <v>1123569</v>
      </c>
      <c r="B377">
        <v>1123569</v>
      </c>
      <c r="C377" t="s">
        <v>720</v>
      </c>
      <c r="D377" t="s">
        <v>718</v>
      </c>
      <c r="E377" t="s">
        <v>719</v>
      </c>
      <c r="F377" s="1">
        <v>4</v>
      </c>
      <c r="G377" s="2">
        <v>0.4</v>
      </c>
      <c r="H377" s="2">
        <v>0.512</v>
      </c>
      <c r="I377" s="1">
        <v>5.6</v>
      </c>
      <c r="J377" s="1">
        <f>IF(AND(ISNUMBER(F377),ISNUMBER(H377)),ROUND(F377*(1+H377),2),"")</f>
        <v>6.05</v>
      </c>
      <c r="K377" s="2">
        <f>IF(AND(ISNUMBER(I377),I377&gt;0,ISNUMBER(J377)),J377/I377-1,"")</f>
        <v>0.0803571428571428</v>
      </c>
      <c r="L377" t="s">
        <v>38</v>
      </c>
      <c r="N377" s="1" t="s">
        <f>IF(AND(ISNUMBER(U377),U377&gt;0,ISNUMBER(J377)),ROUND(J377/U377,2),"")</f>
        <v>39</v>
      </c>
      <c r="Q377" t="s">
        <v>40</v>
      </c>
      <c r="R377" t="s">
        <v>39</v>
      </c>
      <c r="S377">
        <v>952531</v>
      </c>
      <c r="T377">
        <v>952531</v>
      </c>
      <c r="X377" t="s">
        <v>41</v>
      </c>
      <c r="Z377" s="1">
        <v>5.6</v>
      </c>
      <c r="AA377" s="1">
        <f>IF(AND(ISNUMBER(Z377),ISNUMBER(I377),I377&gt;0,ISNUMBER(J377)),ROUND(Z377*J377/I377,2),"")</f>
        <v>6.05</v>
      </c>
      <c r="AB377" t="s">
        <v>42</v>
      </c>
      <c r="AC377" t="s">
        <v>43</v>
      </c>
      <c r="AD377" t="s">
        <v>48</v>
      </c>
      <c r="AE377" t="s">
        <v>45</v>
      </c>
    </row>
    <row r="378">
      <c r="A378">
        <v>1018696</v>
      </c>
      <c r="B378">
        <v>1018696</v>
      </c>
      <c r="C378" t="s">
        <v>721</v>
      </c>
      <c r="D378" t="s">
        <v>718</v>
      </c>
      <c r="E378" t="s">
        <v>63</v>
      </c>
      <c r="F378" s="1">
        <v>4</v>
      </c>
      <c r="G378" s="2">
        <v>0.4</v>
      </c>
      <c r="H378" s="2">
        <v>0.512</v>
      </c>
      <c r="I378" s="1">
        <v>5.6</v>
      </c>
      <c r="J378" s="1">
        <f>IF(AND(ISNUMBER(F378),ISNUMBER(H378)),ROUND(F378*(1+H378),2),"")</f>
        <v>6.05</v>
      </c>
      <c r="K378" s="2">
        <f>IF(AND(ISNUMBER(I378),I378&gt;0,ISNUMBER(J378)),J378/I378-1,"")</f>
        <v>0.0803571428571428</v>
      </c>
      <c r="L378" t="s">
        <v>38</v>
      </c>
      <c r="N378" s="1" t="s">
        <f>IF(AND(ISNUMBER(U378),U378&gt;0,ISNUMBER(J378)),ROUND(J378/U378,2),"")</f>
        <v>39</v>
      </c>
      <c r="Q378" t="s">
        <v>40</v>
      </c>
      <c r="R378" t="s">
        <v>39</v>
      </c>
      <c r="S378">
        <v>804395</v>
      </c>
      <c r="T378">
        <v>804395</v>
      </c>
      <c r="X378" t="s">
        <v>41</v>
      </c>
      <c r="Z378" s="1">
        <v>5.6</v>
      </c>
      <c r="AA378" s="1">
        <f>IF(AND(ISNUMBER(Z378),ISNUMBER(I378),I378&gt;0,ISNUMBER(J378)),ROUND(Z378*J378/I378,2),"")</f>
        <v>6.05</v>
      </c>
      <c r="AB378" t="s">
        <v>42</v>
      </c>
      <c r="AC378" t="s">
        <v>43</v>
      </c>
      <c r="AD378" t="s">
        <v>48</v>
      </c>
      <c r="AE378" t="s">
        <v>45</v>
      </c>
    </row>
    <row r="379">
      <c r="A379">
        <v>805858</v>
      </c>
      <c r="B379">
        <v>805858</v>
      </c>
      <c r="C379" t="s">
        <v>722</v>
      </c>
      <c r="D379" t="s">
        <v>718</v>
      </c>
      <c r="E379" t="s">
        <v>96</v>
      </c>
      <c r="F379" s="1">
        <v>4.25</v>
      </c>
      <c r="G379" s="2">
        <v>0.4</v>
      </c>
      <c r="H379" s="2">
        <v>0.512</v>
      </c>
      <c r="I379" s="1">
        <v>5.95</v>
      </c>
      <c r="J379" s="1">
        <f>IF(AND(ISNUMBER(F379),ISNUMBER(H379)),ROUND(F379*(1+H379),2),"")</f>
        <v>6.43</v>
      </c>
      <c r="K379" s="2">
        <f>IF(AND(ISNUMBER(I379),I379&gt;0,ISNUMBER(J379)),J379/I379-1,"")</f>
        <v>0.08067226890756296</v>
      </c>
      <c r="L379" t="s">
        <v>38</v>
      </c>
      <c r="N379" s="1" t="s">
        <f>IF(AND(ISNUMBER(U379),U379&gt;0,ISNUMBER(J379)),ROUND(J379/U379,2),"")</f>
        <v>39</v>
      </c>
      <c r="Q379" t="s">
        <v>40</v>
      </c>
      <c r="R379" t="s">
        <v>39</v>
      </c>
      <c r="S379">
        <v>526916</v>
      </c>
      <c r="T379">
        <v>526916</v>
      </c>
      <c r="X379" t="s">
        <v>41</v>
      </c>
      <c r="Z379" s="1">
        <v>5.95</v>
      </c>
      <c r="AA379" s="1">
        <f>IF(AND(ISNUMBER(Z379),ISNUMBER(I379),I379&gt;0,ISNUMBER(J379)),ROUND(Z379*J379/I379,2),"")</f>
        <v>6.43</v>
      </c>
      <c r="AB379" t="s">
        <v>42</v>
      </c>
      <c r="AC379" t="s">
        <v>43</v>
      </c>
      <c r="AD379" t="s">
        <v>48</v>
      </c>
      <c r="AE379" t="s">
        <v>45</v>
      </c>
    </row>
    <row r="380">
      <c r="A380">
        <v>1017975</v>
      </c>
      <c r="B380">
        <v>1017975</v>
      </c>
      <c r="C380" t="s">
        <v>723</v>
      </c>
      <c r="D380" t="s">
        <v>718</v>
      </c>
      <c r="E380" t="s">
        <v>113</v>
      </c>
      <c r="F380" s="1">
        <v>2.2</v>
      </c>
      <c r="G380" s="2">
        <v>0.4</v>
      </c>
      <c r="H380" s="2">
        <v>0.512</v>
      </c>
      <c r="I380" s="1">
        <v>3.08</v>
      </c>
      <c r="J380" s="1">
        <f>IF(AND(ISNUMBER(F380),ISNUMBER(H380)),ROUND(F380*(1+H380),2),"")</f>
        <v>3.33</v>
      </c>
      <c r="K380" s="2">
        <f>IF(AND(ISNUMBER(I380),I380&gt;0,ISNUMBER(J380)),J380/I380-1,"")</f>
        <v>0.08116883116883122</v>
      </c>
      <c r="L380" t="s">
        <v>38</v>
      </c>
      <c r="M380" s="1">
        <v>3.08</v>
      </c>
      <c r="N380" s="1">
        <f>IF(AND(ISNUMBER(U380),U380&gt;0,ISNUMBER(J380)),ROUND(J380/U380,2),"")</f>
        <v>3.33</v>
      </c>
      <c r="Q380" t="s">
        <v>40</v>
      </c>
      <c r="R380" t="s">
        <v>39</v>
      </c>
      <c r="S380">
        <v>803425</v>
      </c>
      <c r="T380">
        <v>803425</v>
      </c>
      <c r="U380" s="3">
        <v>1</v>
      </c>
      <c r="X380" t="s">
        <v>41</v>
      </c>
      <c r="Z380" s="1">
        <v>3.08</v>
      </c>
      <c r="AA380" s="1">
        <f>IF(AND(ISNUMBER(Z380),ISNUMBER(I380),I380&gt;0,ISNUMBER(J380)),ROUND(Z380*J380/I380,2),"")</f>
        <v>3.33</v>
      </c>
      <c r="AB380" t="s">
        <v>42</v>
      </c>
      <c r="AC380" t="s">
        <v>43</v>
      </c>
      <c r="AD380" t="s">
        <v>48</v>
      </c>
      <c r="AE380" t="s">
        <v>45</v>
      </c>
    </row>
    <row r="381">
      <c r="A381">
        <v>1004361</v>
      </c>
      <c r="B381">
        <v>1004361</v>
      </c>
      <c r="C381" t="s">
        <v>724</v>
      </c>
      <c r="D381" t="s">
        <v>718</v>
      </c>
      <c r="E381" t="s">
        <v>725</v>
      </c>
      <c r="F381" s="1">
        <v>6.45</v>
      </c>
      <c r="G381" s="2">
        <v>0.4</v>
      </c>
      <c r="H381" s="2">
        <v>0.512</v>
      </c>
      <c r="I381" s="1">
        <v>9.03</v>
      </c>
      <c r="J381" s="1">
        <f>IF(AND(ISNUMBER(F381),ISNUMBER(H381)),ROUND(F381*(1+H381),2),"")</f>
        <v>9.75</v>
      </c>
      <c r="K381" s="2">
        <f>IF(AND(ISNUMBER(I381),I381&gt;0,ISNUMBER(J381)),J381/I381-1,"")</f>
        <v>0.07973421926910307</v>
      </c>
      <c r="L381" t="s">
        <v>38</v>
      </c>
      <c r="M381" s="1">
        <v>1.81</v>
      </c>
      <c r="N381" s="1">
        <f>IF(AND(ISNUMBER(U381),U381&gt;0,ISNUMBER(J381)),ROUND(J381/U381,2),"")</f>
        <v>1.95</v>
      </c>
      <c r="Q381" t="s">
        <v>40</v>
      </c>
      <c r="R381" t="s">
        <v>39</v>
      </c>
      <c r="S381">
        <v>784289</v>
      </c>
      <c r="T381">
        <v>784289</v>
      </c>
      <c r="U381" s="3">
        <v>5</v>
      </c>
      <c r="X381" t="s">
        <v>41</v>
      </c>
      <c r="Z381" s="1">
        <v>9.03</v>
      </c>
      <c r="AA381" s="1">
        <f>IF(AND(ISNUMBER(Z381),ISNUMBER(I381),I381&gt;0,ISNUMBER(J381)),ROUND(Z381*J381/I381,2),"")</f>
        <v>9.75</v>
      </c>
      <c r="AB381" t="s">
        <v>42</v>
      </c>
      <c r="AC381" t="s">
        <v>43</v>
      </c>
      <c r="AD381" t="s">
        <v>48</v>
      </c>
      <c r="AE381" t="s">
        <v>45</v>
      </c>
    </row>
    <row r="382">
      <c r="A382">
        <v>805847</v>
      </c>
      <c r="B382">
        <v>805847</v>
      </c>
      <c r="C382" t="s">
        <v>636</v>
      </c>
      <c r="D382" t="s">
        <v>718</v>
      </c>
      <c r="E382" t="s">
        <v>96</v>
      </c>
      <c r="F382" s="1">
        <v>3.5</v>
      </c>
      <c r="G382" s="2">
        <v>0.4</v>
      </c>
      <c r="H382" s="2">
        <v>0.512</v>
      </c>
      <c r="I382" s="1">
        <v>4.9</v>
      </c>
      <c r="J382" s="1">
        <f>IF(AND(ISNUMBER(F382),ISNUMBER(H382)),ROUND(F382*(1+H382),2),"")</f>
        <v>5.29</v>
      </c>
      <c r="K382" s="2">
        <f>IF(AND(ISNUMBER(I382),I382&gt;0,ISNUMBER(J382)),J382/I382-1,"")</f>
        <v>0.07959183673469372</v>
      </c>
      <c r="L382" t="s">
        <v>38</v>
      </c>
      <c r="N382" s="1" t="s">
        <f>IF(AND(ISNUMBER(U382),U382&gt;0,ISNUMBER(J382)),ROUND(J382/U382,2),"")</f>
        <v>39</v>
      </c>
      <c r="Q382" t="s">
        <v>40</v>
      </c>
      <c r="R382" t="s">
        <v>39</v>
      </c>
      <c r="S382">
        <v>526905</v>
      </c>
      <c r="T382">
        <v>526905</v>
      </c>
      <c r="X382" t="s">
        <v>41</v>
      </c>
      <c r="Z382" s="1">
        <v>4.9</v>
      </c>
      <c r="AA382" s="1">
        <f>IF(AND(ISNUMBER(Z382),ISNUMBER(I382),I382&gt;0,ISNUMBER(J382)),ROUND(Z382*J382/I382,2),"")</f>
        <v>5.29</v>
      </c>
      <c r="AB382" t="s">
        <v>42</v>
      </c>
      <c r="AC382" t="s">
        <v>43</v>
      </c>
      <c r="AD382" t="s">
        <v>48</v>
      </c>
      <c r="AE382" t="s">
        <v>45</v>
      </c>
    </row>
    <row r="383">
      <c r="A383">
        <v>805769</v>
      </c>
      <c r="B383">
        <v>805769</v>
      </c>
      <c r="C383" t="s">
        <v>726</v>
      </c>
      <c r="D383" t="s">
        <v>718</v>
      </c>
      <c r="E383" t="s">
        <v>96</v>
      </c>
      <c r="F383" s="1">
        <v>4.75</v>
      </c>
      <c r="G383" s="2">
        <v>0.4</v>
      </c>
      <c r="H383" s="2">
        <v>0.512</v>
      </c>
      <c r="I383" s="1">
        <v>6.65</v>
      </c>
      <c r="J383" s="1">
        <f>IF(AND(ISNUMBER(F383),ISNUMBER(H383)),ROUND(F383*(1+H383),2),"")</f>
        <v>7.18</v>
      </c>
      <c r="K383" s="2">
        <f>IF(AND(ISNUMBER(I383),I383&gt;0,ISNUMBER(J383)),J383/I383-1,"")</f>
        <v>0.07969924812030071</v>
      </c>
      <c r="L383" t="s">
        <v>38</v>
      </c>
      <c r="N383" s="1" t="s">
        <f>IF(AND(ISNUMBER(U383),U383&gt;0,ISNUMBER(J383)),ROUND(J383/U383,2),"")</f>
        <v>39</v>
      </c>
      <c r="Q383" t="s">
        <v>40</v>
      </c>
      <c r="R383" t="s">
        <v>39</v>
      </c>
      <c r="S383">
        <v>526825</v>
      </c>
      <c r="T383">
        <v>526825</v>
      </c>
      <c r="X383" t="s">
        <v>41</v>
      </c>
      <c r="Z383" s="1">
        <v>6.65</v>
      </c>
      <c r="AA383" s="1">
        <f>IF(AND(ISNUMBER(Z383),ISNUMBER(I383),I383&gt;0,ISNUMBER(J383)),ROUND(Z383*J383/I383,2),"")</f>
        <v>7.18</v>
      </c>
      <c r="AB383" t="s">
        <v>42</v>
      </c>
      <c r="AC383" t="s">
        <v>43</v>
      </c>
      <c r="AD383" t="s">
        <v>48</v>
      </c>
      <c r="AE383" t="s">
        <v>45</v>
      </c>
    </row>
    <row r="384">
      <c r="A384">
        <v>1012284</v>
      </c>
      <c r="B384">
        <v>1012284</v>
      </c>
      <c r="C384" t="s">
        <v>727</v>
      </c>
      <c r="D384" t="s">
        <v>718</v>
      </c>
      <c r="E384" t="s">
        <v>98</v>
      </c>
      <c r="F384" s="1">
        <v>2.7</v>
      </c>
      <c r="G384" s="2">
        <v>0.4</v>
      </c>
      <c r="H384" s="2">
        <v>0.512</v>
      </c>
      <c r="I384" s="1">
        <v>3.78</v>
      </c>
      <c r="J384" s="1">
        <f>IF(AND(ISNUMBER(F384),ISNUMBER(H384)),ROUND(F384*(1+H384),2),"")</f>
        <v>4.08</v>
      </c>
      <c r="K384" s="2">
        <f>IF(AND(ISNUMBER(I384),I384&gt;0,ISNUMBER(J384)),J384/I384-1,"")</f>
        <v>0.07936507936507953</v>
      </c>
      <c r="L384" t="s">
        <v>38</v>
      </c>
      <c r="N384" s="1" t="s">
        <f>IF(AND(ISNUMBER(U384),U384&gt;0,ISNUMBER(J384)),ROUND(J384/U384,2),"")</f>
        <v>39</v>
      </c>
      <c r="Q384" t="s">
        <v>40</v>
      </c>
      <c r="R384" t="s">
        <v>39</v>
      </c>
      <c r="S384">
        <v>795617</v>
      </c>
      <c r="T384">
        <v>795617</v>
      </c>
      <c r="X384" t="s">
        <v>41</v>
      </c>
      <c r="Z384" s="1">
        <v>3.78</v>
      </c>
      <c r="AA384" s="1">
        <f>IF(AND(ISNUMBER(Z384),ISNUMBER(I384),I384&gt;0,ISNUMBER(J384)),ROUND(Z384*J384/I384,2),"")</f>
        <v>4.08</v>
      </c>
      <c r="AB384" t="s">
        <v>42</v>
      </c>
      <c r="AC384" t="s">
        <v>43</v>
      </c>
      <c r="AD384" t="s">
        <v>48</v>
      </c>
      <c r="AE384" t="s">
        <v>45</v>
      </c>
    </row>
    <row r="385">
      <c r="A385">
        <v>1056158</v>
      </c>
      <c r="B385">
        <v>1056158</v>
      </c>
      <c r="C385" t="s">
        <v>102</v>
      </c>
      <c r="D385" t="s">
        <v>718</v>
      </c>
      <c r="E385" t="s">
        <v>63</v>
      </c>
      <c r="F385" s="1">
        <v>5</v>
      </c>
      <c r="G385" s="2">
        <v>0.4</v>
      </c>
      <c r="H385" s="2">
        <v>0.512</v>
      </c>
      <c r="I385" s="1">
        <v>7</v>
      </c>
      <c r="J385" s="1">
        <f>IF(AND(ISNUMBER(F385),ISNUMBER(H385)),ROUND(F385*(1+H385),2),"")</f>
        <v>7.56</v>
      </c>
      <c r="K385" s="2">
        <f>IF(AND(ISNUMBER(I385),I385&gt;0,ISNUMBER(J385)),J385/I385-1,"")</f>
        <v>0.07999999999999985</v>
      </c>
      <c r="L385" t="s">
        <v>38</v>
      </c>
      <c r="N385" s="1" t="s">
        <f>IF(AND(ISNUMBER(U385),U385&gt;0,ISNUMBER(J385)),ROUND(J385/U385,2),"")</f>
        <v>39</v>
      </c>
      <c r="Q385" t="s">
        <v>40</v>
      </c>
      <c r="R385" t="s">
        <v>39</v>
      </c>
      <c r="S385">
        <v>861540</v>
      </c>
      <c r="T385">
        <v>861540</v>
      </c>
      <c r="X385" t="s">
        <v>41</v>
      </c>
      <c r="Z385" s="1">
        <v>7</v>
      </c>
      <c r="AA385" s="1">
        <f>IF(AND(ISNUMBER(Z385),ISNUMBER(I385),I385&gt;0,ISNUMBER(J385)),ROUND(Z385*J385/I385,2),"")</f>
        <v>7.56</v>
      </c>
      <c r="AB385" t="s">
        <v>42</v>
      </c>
      <c r="AC385" t="s">
        <v>43</v>
      </c>
      <c r="AD385" t="s">
        <v>48</v>
      </c>
      <c r="AE385" t="s">
        <v>45</v>
      </c>
    </row>
    <row r="386">
      <c r="A386">
        <v>1017030</v>
      </c>
      <c r="B386">
        <v>1017030</v>
      </c>
      <c r="C386" t="s">
        <v>728</v>
      </c>
      <c r="D386" t="s">
        <v>718</v>
      </c>
      <c r="E386" t="s">
        <v>113</v>
      </c>
      <c r="F386" s="1">
        <v>3.75</v>
      </c>
      <c r="G386" s="2">
        <v>0.4</v>
      </c>
      <c r="H386" s="2">
        <v>0.512</v>
      </c>
      <c r="I386" s="1">
        <v>5.25</v>
      </c>
      <c r="J386" s="1">
        <f>IF(AND(ISNUMBER(F386),ISNUMBER(H386)),ROUND(F386*(1+H386),2),"")</f>
        <v>5.67</v>
      </c>
      <c r="K386" s="2">
        <f>IF(AND(ISNUMBER(I386),I386&gt;0,ISNUMBER(J386)),J386/I386-1,"")</f>
        <v>0.08000000000000007</v>
      </c>
      <c r="L386" t="s">
        <v>38</v>
      </c>
      <c r="M386" s="1">
        <v>5.25</v>
      </c>
      <c r="N386" s="1">
        <f>IF(AND(ISNUMBER(U386),U386&gt;0,ISNUMBER(J386)),ROUND(J386/U386,2),"")</f>
        <v>5.67</v>
      </c>
      <c r="Q386" t="s">
        <v>40</v>
      </c>
      <c r="R386" t="s">
        <v>39</v>
      </c>
      <c r="S386">
        <v>802189</v>
      </c>
      <c r="T386">
        <v>802189</v>
      </c>
      <c r="U386" s="3">
        <v>1</v>
      </c>
      <c r="X386" t="s">
        <v>41</v>
      </c>
      <c r="Z386" s="1">
        <v>5.25</v>
      </c>
      <c r="AA386" s="1">
        <f>IF(AND(ISNUMBER(Z386),ISNUMBER(I386),I386&gt;0,ISNUMBER(J386)),ROUND(Z386*J386/I386,2),"")</f>
        <v>5.67</v>
      </c>
      <c r="AB386" t="s">
        <v>42</v>
      </c>
      <c r="AC386" t="s">
        <v>43</v>
      </c>
      <c r="AD386" t="s">
        <v>48</v>
      </c>
      <c r="AE386" t="s">
        <v>45</v>
      </c>
    </row>
    <row r="387">
      <c r="A387">
        <v>993775</v>
      </c>
      <c r="B387">
        <v>993775</v>
      </c>
      <c r="C387" t="s">
        <v>729</v>
      </c>
      <c r="D387" t="s">
        <v>718</v>
      </c>
      <c r="E387" t="s">
        <v>63</v>
      </c>
      <c r="F387" s="1">
        <v>3.4</v>
      </c>
      <c r="G387" s="2">
        <v>0.4</v>
      </c>
      <c r="H387" s="2">
        <v>0.512</v>
      </c>
      <c r="I387" s="1">
        <v>4.76</v>
      </c>
      <c r="J387" s="1">
        <f>IF(AND(ISNUMBER(F387),ISNUMBER(H387)),ROUND(F387*(1+H387),2),"")</f>
        <v>5.14</v>
      </c>
      <c r="K387" s="2">
        <f>IF(AND(ISNUMBER(I387),I387&gt;0,ISNUMBER(J387)),J387/I387-1,"")</f>
        <v>0.07983193277310918</v>
      </c>
      <c r="L387" t="s">
        <v>38</v>
      </c>
      <c r="N387" s="1" t="s">
        <f>IF(AND(ISNUMBER(U387),U387&gt;0,ISNUMBER(J387)),ROUND(J387/U387,2),"")</f>
        <v>39</v>
      </c>
      <c r="Q387" t="s">
        <v>40</v>
      </c>
      <c r="R387" t="s">
        <v>39</v>
      </c>
      <c r="S387">
        <v>766895</v>
      </c>
      <c r="T387">
        <v>766895</v>
      </c>
      <c r="X387" t="s">
        <v>41</v>
      </c>
      <c r="Z387" s="1">
        <v>4.76</v>
      </c>
      <c r="AA387" s="1">
        <f>IF(AND(ISNUMBER(Z387),ISNUMBER(I387),I387&gt;0,ISNUMBER(J387)),ROUND(Z387*J387/I387,2),"")</f>
        <v>5.14</v>
      </c>
      <c r="AB387" t="s">
        <v>42</v>
      </c>
      <c r="AC387" t="s">
        <v>43</v>
      </c>
      <c r="AD387" t="s">
        <v>48</v>
      </c>
      <c r="AE387" t="s">
        <v>45</v>
      </c>
    </row>
    <row r="388">
      <c r="A388">
        <v>805891</v>
      </c>
      <c r="B388">
        <v>805891</v>
      </c>
      <c r="C388" t="s">
        <v>730</v>
      </c>
      <c r="D388" t="s">
        <v>718</v>
      </c>
      <c r="E388" t="s">
        <v>96</v>
      </c>
      <c r="F388" s="1">
        <v>4</v>
      </c>
      <c r="G388" s="2">
        <v>0.4</v>
      </c>
      <c r="H388" s="2">
        <v>0.512</v>
      </c>
      <c r="I388" s="1">
        <v>5.6</v>
      </c>
      <c r="J388" s="1">
        <f>IF(AND(ISNUMBER(F388),ISNUMBER(H388)),ROUND(F388*(1+H388),2),"")</f>
        <v>6.05</v>
      </c>
      <c r="K388" s="2">
        <f>IF(AND(ISNUMBER(I388),I388&gt;0,ISNUMBER(J388)),J388/I388-1,"")</f>
        <v>0.0803571428571428</v>
      </c>
      <c r="L388" t="s">
        <v>38</v>
      </c>
      <c r="N388" s="1" t="s">
        <f>IF(AND(ISNUMBER(U388),U388&gt;0,ISNUMBER(J388)),ROUND(J388/U388,2),"")</f>
        <v>39</v>
      </c>
      <c r="Q388" t="s">
        <v>40</v>
      </c>
      <c r="R388" t="s">
        <v>39</v>
      </c>
      <c r="S388">
        <v>526949</v>
      </c>
      <c r="T388">
        <v>526949</v>
      </c>
      <c r="X388" t="s">
        <v>41</v>
      </c>
      <c r="Z388" s="1">
        <v>5.6</v>
      </c>
      <c r="AA388" s="1">
        <f>IF(AND(ISNUMBER(Z388),ISNUMBER(I388),I388&gt;0,ISNUMBER(J388)),ROUND(Z388*J388/I388,2),"")</f>
        <v>6.05</v>
      </c>
      <c r="AB388" t="s">
        <v>42</v>
      </c>
      <c r="AC388" t="s">
        <v>43</v>
      </c>
      <c r="AD388" t="s">
        <v>48</v>
      </c>
      <c r="AE388" t="s">
        <v>45</v>
      </c>
    </row>
    <row r="389">
      <c r="A389">
        <v>976168</v>
      </c>
      <c r="B389">
        <v>976168</v>
      </c>
      <c r="C389" t="s">
        <v>731</v>
      </c>
      <c r="D389" t="s">
        <v>718</v>
      </c>
      <c r="E389" t="s">
        <v>732</v>
      </c>
      <c r="F389" s="1">
        <v>2</v>
      </c>
      <c r="G389" s="2">
        <v>0.4</v>
      </c>
      <c r="H389" s="2">
        <v>0.512</v>
      </c>
      <c r="I389" s="1">
        <v>2.8</v>
      </c>
      <c r="J389" s="1">
        <f>IF(AND(ISNUMBER(F389),ISNUMBER(H389)),ROUND(F389*(1+H389),2),"")</f>
        <v>3.02</v>
      </c>
      <c r="K389" s="2">
        <f>IF(AND(ISNUMBER(I389),I389&gt;0,ISNUMBER(J389)),J389/I389-1,"")</f>
        <v>0.07857142857142874</v>
      </c>
      <c r="L389" t="s">
        <v>38</v>
      </c>
      <c r="N389" s="1" t="s">
        <f>IF(AND(ISNUMBER(U389),U389&gt;0,ISNUMBER(J389)),ROUND(J389/U389,2),"")</f>
        <v>39</v>
      </c>
      <c r="Q389" t="s">
        <v>40</v>
      </c>
      <c r="R389" t="s">
        <v>39</v>
      </c>
      <c r="S389">
        <v>741892</v>
      </c>
      <c r="T389">
        <v>741892</v>
      </c>
      <c r="X389" t="s">
        <v>41</v>
      </c>
      <c r="Z389" s="1">
        <v>2.8</v>
      </c>
      <c r="AA389" s="1">
        <f>IF(AND(ISNUMBER(Z389),ISNUMBER(I389),I389&gt;0,ISNUMBER(J389)),ROUND(Z389*J389/I389,2),"")</f>
        <v>3.02</v>
      </c>
      <c r="AB389" t="s">
        <v>42</v>
      </c>
      <c r="AC389" t="s">
        <v>43</v>
      </c>
      <c r="AD389" t="s">
        <v>48</v>
      </c>
      <c r="AE389" t="s">
        <v>45</v>
      </c>
    </row>
    <row r="390">
      <c r="A390">
        <v>981788</v>
      </c>
      <c r="B390">
        <v>981788</v>
      </c>
      <c r="C390" t="s">
        <v>733</v>
      </c>
      <c r="D390" t="s">
        <v>718</v>
      </c>
      <c r="E390" t="s">
        <v>194</v>
      </c>
      <c r="F390" s="1">
        <v>4.5</v>
      </c>
      <c r="G390" s="2">
        <v>0.4</v>
      </c>
      <c r="H390" s="2">
        <v>0.512</v>
      </c>
      <c r="I390" s="1">
        <v>6.3</v>
      </c>
      <c r="J390" s="1">
        <f>IF(AND(ISNUMBER(F390),ISNUMBER(H390)),ROUND(F390*(1+H390),2),"")</f>
        <v>6.8</v>
      </c>
      <c r="K390" s="2">
        <f>IF(AND(ISNUMBER(I390),I390&gt;0,ISNUMBER(J390)),J390/I390-1,"")</f>
        <v>0.0793650793650793</v>
      </c>
      <c r="L390" t="s">
        <v>38</v>
      </c>
      <c r="N390" s="1" t="s">
        <f>IF(AND(ISNUMBER(U390),U390&gt;0,ISNUMBER(J390)),ROUND(J390/U390,2),"")</f>
        <v>39</v>
      </c>
      <c r="Q390" t="s">
        <v>40</v>
      </c>
      <c r="R390" t="s">
        <v>39</v>
      </c>
      <c r="S390">
        <v>750321</v>
      </c>
      <c r="T390">
        <v>750321</v>
      </c>
      <c r="X390" t="s">
        <v>41</v>
      </c>
      <c r="Z390" s="1">
        <v>6.3</v>
      </c>
      <c r="AA390" s="1">
        <f>IF(AND(ISNUMBER(Z390),ISNUMBER(I390),I390&gt;0,ISNUMBER(J390)),ROUND(Z390*J390/I390,2),"")</f>
        <v>6.8</v>
      </c>
      <c r="AB390" t="s">
        <v>42</v>
      </c>
      <c r="AC390" t="s">
        <v>43</v>
      </c>
      <c r="AD390" t="s">
        <v>48</v>
      </c>
      <c r="AE390" t="s">
        <v>45</v>
      </c>
    </row>
    <row r="391">
      <c r="A391">
        <v>995640</v>
      </c>
      <c r="B391">
        <v>995640</v>
      </c>
      <c r="C391" t="s">
        <v>734</v>
      </c>
      <c r="D391" t="s">
        <v>718</v>
      </c>
      <c r="E391" t="s">
        <v>98</v>
      </c>
      <c r="F391" s="1">
        <v>2.5</v>
      </c>
      <c r="G391" s="2">
        <v>0.4</v>
      </c>
      <c r="H391" s="2">
        <v>0.512</v>
      </c>
      <c r="I391" s="1">
        <v>3.5</v>
      </c>
      <c r="J391" s="1">
        <f>IF(AND(ISNUMBER(F391),ISNUMBER(H391)),ROUND(F391*(1+H391),2),"")</f>
        <v>3.78</v>
      </c>
      <c r="K391" s="2">
        <f>IF(AND(ISNUMBER(I391),I391&gt;0,ISNUMBER(J391)),J391/I391-1,"")</f>
        <v>0.07999999999999985</v>
      </c>
      <c r="L391" t="s">
        <v>38</v>
      </c>
      <c r="N391" s="1" t="s">
        <f>IF(AND(ISNUMBER(U391),U391&gt;0,ISNUMBER(J391)),ROUND(J391/U391,2),"")</f>
        <v>39</v>
      </c>
      <c r="Q391" t="s">
        <v>40</v>
      </c>
      <c r="R391" t="s">
        <v>39</v>
      </c>
      <c r="S391">
        <v>770068</v>
      </c>
      <c r="T391">
        <v>770068</v>
      </c>
      <c r="X391" t="s">
        <v>41</v>
      </c>
      <c r="Z391" s="1">
        <v>3.5</v>
      </c>
      <c r="AA391" s="1">
        <f>IF(AND(ISNUMBER(Z391),ISNUMBER(I391),I391&gt;0,ISNUMBER(J391)),ROUND(Z391*J391/I391,2),"")</f>
        <v>3.78</v>
      </c>
      <c r="AB391" t="s">
        <v>42</v>
      </c>
      <c r="AC391" t="s">
        <v>43</v>
      </c>
      <c r="AD391" t="s">
        <v>48</v>
      </c>
      <c r="AE391" t="s">
        <v>45</v>
      </c>
    </row>
    <row r="392">
      <c r="A392">
        <v>1004523</v>
      </c>
      <c r="B392">
        <v>1004523</v>
      </c>
      <c r="C392" t="s">
        <v>735</v>
      </c>
      <c r="D392" t="s">
        <v>718</v>
      </c>
      <c r="E392" t="s">
        <v>94</v>
      </c>
      <c r="F392" s="1">
        <v>3</v>
      </c>
      <c r="G392" s="2">
        <v>0.4</v>
      </c>
      <c r="H392" s="2">
        <v>0.512</v>
      </c>
      <c r="I392" s="1">
        <v>4.2</v>
      </c>
      <c r="J392" s="1">
        <f>IF(AND(ISNUMBER(F392),ISNUMBER(H392)),ROUND(F392*(1+H392),2),"")</f>
        <v>4.54</v>
      </c>
      <c r="K392" s="2">
        <f>IF(AND(ISNUMBER(I392),I392&gt;0,ISNUMBER(J392)),J392/I392-1,"")</f>
        <v>0.08095238095238089</v>
      </c>
      <c r="L392" t="s">
        <v>38</v>
      </c>
      <c r="N392" s="1" t="s">
        <f>IF(AND(ISNUMBER(U392),U392&gt;0,ISNUMBER(J392)),ROUND(J392/U392,2),"")</f>
        <v>39</v>
      </c>
      <c r="Q392" t="s">
        <v>40</v>
      </c>
      <c r="R392" t="s">
        <v>39</v>
      </c>
      <c r="S392">
        <v>784559</v>
      </c>
      <c r="T392">
        <v>784559</v>
      </c>
      <c r="X392" t="s">
        <v>41</v>
      </c>
      <c r="Z392" s="1">
        <v>4.2</v>
      </c>
      <c r="AA392" s="1">
        <f>IF(AND(ISNUMBER(Z392),ISNUMBER(I392),I392&gt;0,ISNUMBER(J392)),ROUND(Z392*J392/I392,2),"")</f>
        <v>4.54</v>
      </c>
      <c r="AB392" t="s">
        <v>42</v>
      </c>
      <c r="AC392" t="s">
        <v>43</v>
      </c>
      <c r="AD392" t="s">
        <v>48</v>
      </c>
      <c r="AE392" t="s">
        <v>45</v>
      </c>
    </row>
    <row r="393">
      <c r="A393">
        <v>982957</v>
      </c>
      <c r="B393">
        <v>982957</v>
      </c>
      <c r="C393" t="s">
        <v>736</v>
      </c>
      <c r="D393" t="s">
        <v>718</v>
      </c>
      <c r="E393" t="s">
        <v>98</v>
      </c>
      <c r="F393" s="1">
        <v>3.75</v>
      </c>
      <c r="G393" s="2">
        <v>0.4</v>
      </c>
      <c r="H393" s="2">
        <v>0.512</v>
      </c>
      <c r="I393" s="1">
        <v>5.25</v>
      </c>
      <c r="J393" s="1">
        <f>IF(AND(ISNUMBER(F393),ISNUMBER(H393)),ROUND(F393*(1+H393),2),"")</f>
        <v>5.67</v>
      </c>
      <c r="K393" s="2">
        <f>IF(AND(ISNUMBER(I393),I393&gt;0,ISNUMBER(J393)),J393/I393-1,"")</f>
        <v>0.08000000000000007</v>
      </c>
      <c r="L393" t="s">
        <v>38</v>
      </c>
      <c r="N393" s="1" t="s">
        <f>IF(AND(ISNUMBER(U393),U393&gt;0,ISNUMBER(J393)),ROUND(J393/U393,2),"")</f>
        <v>39</v>
      </c>
      <c r="Q393" t="s">
        <v>40</v>
      </c>
      <c r="R393" t="s">
        <v>39</v>
      </c>
      <c r="S393">
        <v>751661</v>
      </c>
      <c r="T393">
        <v>751661</v>
      </c>
      <c r="X393" t="s">
        <v>41</v>
      </c>
      <c r="Z393" s="1">
        <v>5.25</v>
      </c>
      <c r="AA393" s="1">
        <f>IF(AND(ISNUMBER(Z393),ISNUMBER(I393),I393&gt;0,ISNUMBER(J393)),ROUND(Z393*J393/I393,2),"")</f>
        <v>5.67</v>
      </c>
      <c r="AB393" t="s">
        <v>42</v>
      </c>
      <c r="AC393" t="s">
        <v>43</v>
      </c>
      <c r="AD393" t="s">
        <v>48</v>
      </c>
      <c r="AE393" t="s">
        <v>45</v>
      </c>
    </row>
    <row r="394">
      <c r="A394">
        <v>805936</v>
      </c>
      <c r="B394">
        <v>805936</v>
      </c>
      <c r="C394" t="s">
        <v>737</v>
      </c>
      <c r="D394" t="s">
        <v>718</v>
      </c>
      <c r="E394" t="s">
        <v>732</v>
      </c>
      <c r="F394" s="1">
        <v>2</v>
      </c>
      <c r="G394" s="2">
        <v>0.4</v>
      </c>
      <c r="H394" s="2">
        <v>0.512</v>
      </c>
      <c r="I394" s="1">
        <v>2.8</v>
      </c>
      <c r="J394" s="1">
        <f>IF(AND(ISNUMBER(F394),ISNUMBER(H394)),ROUND(F394*(1+H394),2),"")</f>
        <v>3.02</v>
      </c>
      <c r="K394" s="2">
        <f>IF(AND(ISNUMBER(I394),I394&gt;0,ISNUMBER(J394)),J394/I394-1,"")</f>
        <v>0.07857142857142874</v>
      </c>
      <c r="L394" t="s">
        <v>38</v>
      </c>
      <c r="N394" s="1" t="s">
        <f>IF(AND(ISNUMBER(U394),U394&gt;0,ISNUMBER(J394)),ROUND(J394/U394,2),"")</f>
        <v>39</v>
      </c>
      <c r="Q394" t="s">
        <v>40</v>
      </c>
      <c r="R394" t="s">
        <v>39</v>
      </c>
      <c r="S394">
        <v>526996</v>
      </c>
      <c r="T394">
        <v>526996</v>
      </c>
      <c r="X394" t="s">
        <v>41</v>
      </c>
      <c r="Z394" s="1">
        <v>2.8</v>
      </c>
      <c r="AA394" s="1">
        <f>IF(AND(ISNUMBER(Z394),ISNUMBER(I394),I394&gt;0,ISNUMBER(J394)),ROUND(Z394*J394/I394,2),"")</f>
        <v>3.02</v>
      </c>
      <c r="AB394" t="s">
        <v>42</v>
      </c>
      <c r="AC394" t="s">
        <v>43</v>
      </c>
      <c r="AD394" t="s">
        <v>48</v>
      </c>
      <c r="AE394" t="s">
        <v>45</v>
      </c>
    </row>
    <row r="395">
      <c r="A395">
        <v>805813</v>
      </c>
      <c r="B395">
        <v>805813</v>
      </c>
      <c r="C395" t="s">
        <v>738</v>
      </c>
      <c r="D395" t="s">
        <v>718</v>
      </c>
      <c r="E395" t="s">
        <v>96</v>
      </c>
      <c r="F395" s="1">
        <v>2</v>
      </c>
      <c r="G395" s="2">
        <v>0.4</v>
      </c>
      <c r="H395" s="2">
        <v>0.512</v>
      </c>
      <c r="I395" s="1">
        <v>2.8</v>
      </c>
      <c r="J395" s="1">
        <f>IF(AND(ISNUMBER(F395),ISNUMBER(H395)),ROUND(F395*(1+H395),2),"")</f>
        <v>3.02</v>
      </c>
      <c r="K395" s="2">
        <f>IF(AND(ISNUMBER(I395),I395&gt;0,ISNUMBER(J395)),J395/I395-1,"")</f>
        <v>0.07857142857142874</v>
      </c>
      <c r="L395" t="s">
        <v>38</v>
      </c>
      <c r="N395" s="1" t="s">
        <f>IF(AND(ISNUMBER(U395),U395&gt;0,ISNUMBER(J395)),ROUND(J395/U395,2),"")</f>
        <v>39</v>
      </c>
      <c r="Q395" t="s">
        <v>40</v>
      </c>
      <c r="R395" t="s">
        <v>39</v>
      </c>
      <c r="S395">
        <v>526870</v>
      </c>
      <c r="T395">
        <v>526870</v>
      </c>
      <c r="X395" t="s">
        <v>41</v>
      </c>
      <c r="Z395" s="1">
        <v>2.8</v>
      </c>
      <c r="AA395" s="1">
        <f>IF(AND(ISNUMBER(Z395),ISNUMBER(I395),I395&gt;0,ISNUMBER(J395)),ROUND(Z395*J395/I395,2),"")</f>
        <v>3.02</v>
      </c>
      <c r="AB395" t="s">
        <v>42</v>
      </c>
      <c r="AC395" t="s">
        <v>43</v>
      </c>
      <c r="AD395" t="s">
        <v>44</v>
      </c>
      <c r="AE395" t="s">
        <v>45</v>
      </c>
    </row>
    <row r="396">
      <c r="A396">
        <v>1107077</v>
      </c>
      <c r="B396">
        <v>1107077</v>
      </c>
      <c r="C396" t="s">
        <v>739</v>
      </c>
      <c r="D396" t="s">
        <v>718</v>
      </c>
      <c r="E396" t="s">
        <v>98</v>
      </c>
      <c r="F396" s="1">
        <v>2.85</v>
      </c>
      <c r="G396" s="2">
        <v>0.4</v>
      </c>
      <c r="H396" s="2">
        <v>0.512</v>
      </c>
      <c r="I396" s="1">
        <v>3.99</v>
      </c>
      <c r="J396" s="1">
        <f>IF(AND(ISNUMBER(F396),ISNUMBER(H396)),ROUND(F396*(1+H396),2),"")</f>
        <v>4.31</v>
      </c>
      <c r="K396" s="2">
        <f>IF(AND(ISNUMBER(I396),I396&gt;0,ISNUMBER(J396)),J396/I396-1,"")</f>
        <v>0.0802005012531326</v>
      </c>
      <c r="L396" t="s">
        <v>38</v>
      </c>
      <c r="N396" s="1" t="s">
        <f>IF(AND(ISNUMBER(U396),U396&gt;0,ISNUMBER(J396)),ROUND(J396/U396,2),"")</f>
        <v>39</v>
      </c>
      <c r="Q396" t="s">
        <v>40</v>
      </c>
      <c r="R396" t="s">
        <v>39</v>
      </c>
      <c r="S396">
        <v>925321</v>
      </c>
      <c r="T396">
        <v>925321</v>
      </c>
      <c r="X396" t="s">
        <v>41</v>
      </c>
      <c r="Z396" s="1">
        <v>3.99</v>
      </c>
      <c r="AA396" s="1">
        <f>IF(AND(ISNUMBER(Z396),ISNUMBER(I396),I396&gt;0,ISNUMBER(J396)),ROUND(Z396*J396/I396,2),"")</f>
        <v>4.31</v>
      </c>
      <c r="AB396" t="s">
        <v>42</v>
      </c>
      <c r="AC396" t="s">
        <v>43</v>
      </c>
      <c r="AD396" t="s">
        <v>48</v>
      </c>
      <c r="AE396" t="s">
        <v>45</v>
      </c>
    </row>
    <row r="397">
      <c r="A397">
        <v>805809</v>
      </c>
      <c r="B397">
        <v>805809</v>
      </c>
      <c r="C397" t="s">
        <v>740</v>
      </c>
      <c r="D397" t="s">
        <v>718</v>
      </c>
      <c r="E397" t="s">
        <v>732</v>
      </c>
      <c r="F397" s="1">
        <v>2</v>
      </c>
      <c r="G397" s="2">
        <v>0.4</v>
      </c>
      <c r="H397" s="2">
        <v>0.512</v>
      </c>
      <c r="I397" s="1">
        <v>2.8</v>
      </c>
      <c r="J397" s="1">
        <f>IF(AND(ISNUMBER(F397),ISNUMBER(H397)),ROUND(F397*(1+H397),2),"")</f>
        <v>3.02</v>
      </c>
      <c r="K397" s="2">
        <f>IF(AND(ISNUMBER(I397),I397&gt;0,ISNUMBER(J397)),J397/I397-1,"")</f>
        <v>0.07857142857142874</v>
      </c>
      <c r="L397" t="s">
        <v>38</v>
      </c>
      <c r="N397" s="1" t="s">
        <f>IF(AND(ISNUMBER(U397),U397&gt;0,ISNUMBER(J397)),ROUND(J397/U397,2),"")</f>
        <v>39</v>
      </c>
      <c r="Q397" t="s">
        <v>40</v>
      </c>
      <c r="R397" t="s">
        <v>39</v>
      </c>
      <c r="S397">
        <v>526867</v>
      </c>
      <c r="T397">
        <v>526867</v>
      </c>
      <c r="X397" t="s">
        <v>41</v>
      </c>
      <c r="Z397" s="1">
        <v>2.8</v>
      </c>
      <c r="AA397" s="1">
        <f>IF(AND(ISNUMBER(Z397),ISNUMBER(I397),I397&gt;0,ISNUMBER(J397)),ROUND(Z397*J397/I397,2),"")</f>
        <v>3.02</v>
      </c>
      <c r="AB397" t="s">
        <v>42</v>
      </c>
      <c r="AC397" t="s">
        <v>43</v>
      </c>
      <c r="AD397" t="s">
        <v>48</v>
      </c>
      <c r="AE397" t="s">
        <v>45</v>
      </c>
    </row>
    <row r="398">
      <c r="A398">
        <v>995529</v>
      </c>
      <c r="B398">
        <v>995529</v>
      </c>
      <c r="C398" t="s">
        <v>741</v>
      </c>
      <c r="D398" t="s">
        <v>718</v>
      </c>
      <c r="E398" t="s">
        <v>96</v>
      </c>
      <c r="F398" s="1">
        <v>1.75</v>
      </c>
      <c r="G398" s="2">
        <v>0.4</v>
      </c>
      <c r="H398" s="2">
        <v>0.512</v>
      </c>
      <c r="I398" s="1">
        <v>2.45</v>
      </c>
      <c r="J398" s="1">
        <f>IF(AND(ISNUMBER(F398),ISNUMBER(H398)),ROUND(F398*(1+H398),2),"")</f>
        <v>2.65</v>
      </c>
      <c r="K398" s="2">
        <f>IF(AND(ISNUMBER(I398),I398&gt;0,ISNUMBER(J398)),J398/I398-1,"")</f>
        <v>0.08163265306122436</v>
      </c>
      <c r="L398" t="s">
        <v>38</v>
      </c>
      <c r="N398" s="1" t="s">
        <f>IF(AND(ISNUMBER(U398),U398&gt;0,ISNUMBER(J398)),ROUND(J398/U398,2),"")</f>
        <v>39</v>
      </c>
      <c r="Q398" t="s">
        <v>40</v>
      </c>
      <c r="R398" t="s">
        <v>39</v>
      </c>
      <c r="S398">
        <v>769872</v>
      </c>
      <c r="T398">
        <v>769872</v>
      </c>
      <c r="X398" t="s">
        <v>41</v>
      </c>
      <c r="Z398" s="1">
        <v>2.45</v>
      </c>
      <c r="AA398" s="1">
        <f>IF(AND(ISNUMBER(Z398),ISNUMBER(I398),I398&gt;0,ISNUMBER(J398)),ROUND(Z398*J398/I398,2),"")</f>
        <v>2.65</v>
      </c>
      <c r="AB398" t="s">
        <v>42</v>
      </c>
      <c r="AC398" t="s">
        <v>43</v>
      </c>
      <c r="AD398" t="s">
        <v>48</v>
      </c>
      <c r="AE398" t="s">
        <v>45</v>
      </c>
    </row>
    <row r="399">
      <c r="A399">
        <v>805767</v>
      </c>
      <c r="B399">
        <v>805767</v>
      </c>
      <c r="C399" t="s">
        <v>741</v>
      </c>
      <c r="D399" t="s">
        <v>718</v>
      </c>
      <c r="E399" t="s">
        <v>742</v>
      </c>
      <c r="F399" s="1">
        <v>4.25</v>
      </c>
      <c r="G399" s="2">
        <v>0.4</v>
      </c>
      <c r="H399" s="2">
        <v>0.512</v>
      </c>
      <c r="I399" s="1">
        <v>5.95</v>
      </c>
      <c r="J399" s="1">
        <f>IF(AND(ISNUMBER(F399),ISNUMBER(H399)),ROUND(F399*(1+H399),2),"")</f>
        <v>6.43</v>
      </c>
      <c r="K399" s="2">
        <f>IF(AND(ISNUMBER(I399),I399&gt;0,ISNUMBER(J399)),J399/I399-1,"")</f>
        <v>0.08067226890756296</v>
      </c>
      <c r="L399" t="s">
        <v>38</v>
      </c>
      <c r="N399" s="1" t="s">
        <f>IF(AND(ISNUMBER(U399),U399&gt;0,ISNUMBER(J399)),ROUND(J399/U399,2),"")</f>
        <v>39</v>
      </c>
      <c r="Q399" t="s">
        <v>40</v>
      </c>
      <c r="R399" t="s">
        <v>39</v>
      </c>
      <c r="S399">
        <v>526823</v>
      </c>
      <c r="T399">
        <v>526823</v>
      </c>
      <c r="X399" t="s">
        <v>41</v>
      </c>
      <c r="Z399" s="1">
        <v>5.95</v>
      </c>
      <c r="AA399" s="1">
        <f>IF(AND(ISNUMBER(Z399),ISNUMBER(I399),I399&gt;0,ISNUMBER(J399)),ROUND(Z399*J399/I399,2),"")</f>
        <v>6.43</v>
      </c>
      <c r="AB399" t="s">
        <v>42</v>
      </c>
      <c r="AC399" t="s">
        <v>43</v>
      </c>
      <c r="AD399" t="s">
        <v>48</v>
      </c>
      <c r="AE399" t="s">
        <v>45</v>
      </c>
    </row>
    <row r="400">
      <c r="A400">
        <v>964210</v>
      </c>
      <c r="B400">
        <v>964210</v>
      </c>
      <c r="C400" t="s">
        <v>743</v>
      </c>
      <c r="D400" t="s">
        <v>718</v>
      </c>
      <c r="E400" t="s">
        <v>96</v>
      </c>
      <c r="F400" s="1">
        <v>2.85</v>
      </c>
      <c r="G400" s="2">
        <v>0.4</v>
      </c>
      <c r="H400" s="2">
        <v>0.512</v>
      </c>
      <c r="I400" s="1">
        <v>3.99</v>
      </c>
      <c r="J400" s="1">
        <f>IF(AND(ISNUMBER(F400),ISNUMBER(H400)),ROUND(F400*(1+H400),2),"")</f>
        <v>4.31</v>
      </c>
      <c r="K400" s="2">
        <f>IF(AND(ISNUMBER(I400),I400&gt;0,ISNUMBER(J400)),J400/I400-1,"")</f>
        <v>0.0802005012531326</v>
      </c>
      <c r="L400" t="s">
        <v>38</v>
      </c>
      <c r="N400" s="1" t="s">
        <f>IF(AND(ISNUMBER(U400),U400&gt;0,ISNUMBER(J400)),ROUND(J400/U400,2),"")</f>
        <v>39</v>
      </c>
      <c r="Q400" t="s">
        <v>40</v>
      </c>
      <c r="R400" t="s">
        <v>39</v>
      </c>
      <c r="S400">
        <v>725645</v>
      </c>
      <c r="T400">
        <v>725645</v>
      </c>
      <c r="X400" t="s">
        <v>41</v>
      </c>
      <c r="Z400" s="1">
        <v>3.99</v>
      </c>
      <c r="AA400" s="1">
        <f>IF(AND(ISNUMBER(Z400),ISNUMBER(I400),I400&gt;0,ISNUMBER(J400)),ROUND(Z400*J400/I400,2),"")</f>
        <v>4.31</v>
      </c>
      <c r="AB400" t="s">
        <v>42</v>
      </c>
      <c r="AC400" t="s">
        <v>43</v>
      </c>
      <c r="AD400" t="s">
        <v>48</v>
      </c>
      <c r="AE400" t="s">
        <v>45</v>
      </c>
    </row>
    <row r="401">
      <c r="A401">
        <v>991582</v>
      </c>
      <c r="B401">
        <v>991582</v>
      </c>
      <c r="C401" t="s">
        <v>744</v>
      </c>
      <c r="D401" t="s">
        <v>718</v>
      </c>
      <c r="E401" t="s">
        <v>92</v>
      </c>
      <c r="F401" s="1">
        <v>10</v>
      </c>
      <c r="G401" s="2">
        <v>0.4</v>
      </c>
      <c r="H401" s="2">
        <v>0.512</v>
      </c>
      <c r="I401" s="1">
        <v>14</v>
      </c>
      <c r="J401" s="1">
        <f>IF(AND(ISNUMBER(F401),ISNUMBER(H401)),ROUND(F401*(1+H401),2),"")</f>
        <v>15.12</v>
      </c>
      <c r="K401" s="2">
        <f>IF(AND(ISNUMBER(I401),I401&gt;0,ISNUMBER(J401)),J401/I401-1,"")</f>
        <v>0.07999999999999985</v>
      </c>
      <c r="L401" t="s">
        <v>38</v>
      </c>
      <c r="M401" s="1">
        <v>14</v>
      </c>
      <c r="N401" s="1">
        <f>IF(AND(ISNUMBER(U401),U401&gt;0,ISNUMBER(J401)),ROUND(J401/U401,2),"")</f>
        <v>15.12</v>
      </c>
      <c r="Q401" t="s">
        <v>40</v>
      </c>
      <c r="R401" t="s">
        <v>39</v>
      </c>
      <c r="S401">
        <v>764004</v>
      </c>
      <c r="T401">
        <v>764004</v>
      </c>
      <c r="U401" s="3">
        <v>1</v>
      </c>
      <c r="X401" t="s">
        <v>41</v>
      </c>
      <c r="Z401" s="1">
        <v>14</v>
      </c>
      <c r="AA401" s="1">
        <f>IF(AND(ISNUMBER(Z401),ISNUMBER(I401),I401&gt;0,ISNUMBER(J401)),ROUND(Z401*J401/I401,2),"")</f>
        <v>15.12</v>
      </c>
      <c r="AB401" t="s">
        <v>42</v>
      </c>
      <c r="AC401" t="s">
        <v>43</v>
      </c>
      <c r="AD401" t="s">
        <v>48</v>
      </c>
      <c r="AE401" t="s">
        <v>45</v>
      </c>
    </row>
    <row r="402">
      <c r="A402">
        <v>972698</v>
      </c>
      <c r="B402">
        <v>972698</v>
      </c>
      <c r="C402" t="s">
        <v>745</v>
      </c>
      <c r="D402" t="s">
        <v>718</v>
      </c>
      <c r="E402" t="s">
        <v>100</v>
      </c>
      <c r="F402" s="1">
        <v>3.75</v>
      </c>
      <c r="G402" s="2">
        <v>0.4</v>
      </c>
      <c r="H402" s="2">
        <v>0.512</v>
      </c>
      <c r="I402" s="1">
        <v>5.25</v>
      </c>
      <c r="J402" s="1">
        <f>IF(AND(ISNUMBER(F402),ISNUMBER(H402)),ROUND(F402*(1+H402),2),"")</f>
        <v>5.67</v>
      </c>
      <c r="K402" s="2">
        <f>IF(AND(ISNUMBER(I402),I402&gt;0,ISNUMBER(J402)),J402/I402-1,"")</f>
        <v>0.08000000000000007</v>
      </c>
      <c r="L402" t="s">
        <v>38</v>
      </c>
      <c r="M402" s="1">
        <v>5.25</v>
      </c>
      <c r="N402" s="1">
        <f>IF(AND(ISNUMBER(U402),U402&gt;0,ISNUMBER(J402)),ROUND(J402/U402,2),"")</f>
        <v>5.67</v>
      </c>
      <c r="Q402" t="s">
        <v>40</v>
      </c>
      <c r="R402" t="s">
        <v>39</v>
      </c>
      <c r="S402">
        <v>737048</v>
      </c>
      <c r="T402">
        <v>737048</v>
      </c>
      <c r="U402" s="3">
        <v>1</v>
      </c>
      <c r="X402" t="s">
        <v>41</v>
      </c>
      <c r="Z402" s="1">
        <v>5.25</v>
      </c>
      <c r="AA402" s="1">
        <f>IF(AND(ISNUMBER(Z402),ISNUMBER(I402),I402&gt;0,ISNUMBER(J402)),ROUND(Z402*J402/I402,2),"")</f>
        <v>5.67</v>
      </c>
      <c r="AB402" t="s">
        <v>42</v>
      </c>
      <c r="AC402" t="s">
        <v>43</v>
      </c>
      <c r="AD402" t="s">
        <v>48</v>
      </c>
      <c r="AE402" t="s">
        <v>45</v>
      </c>
    </row>
    <row r="403">
      <c r="A403">
        <v>975655</v>
      </c>
      <c r="B403">
        <v>975655</v>
      </c>
      <c r="C403" t="s">
        <v>746</v>
      </c>
      <c r="D403" t="s">
        <v>718</v>
      </c>
      <c r="E403" t="s">
        <v>92</v>
      </c>
      <c r="F403" s="1">
        <v>4</v>
      </c>
      <c r="G403" s="2">
        <v>0.4</v>
      </c>
      <c r="H403" s="2">
        <v>0.512</v>
      </c>
      <c r="I403" s="1">
        <v>5.6</v>
      </c>
      <c r="J403" s="1">
        <f>IF(AND(ISNUMBER(F403),ISNUMBER(H403)),ROUND(F403*(1+H403),2),"")</f>
        <v>6.05</v>
      </c>
      <c r="K403" s="2">
        <f>IF(AND(ISNUMBER(I403),I403&gt;0,ISNUMBER(J403)),J403/I403-1,"")</f>
        <v>0.0803571428571428</v>
      </c>
      <c r="L403" t="s">
        <v>38</v>
      </c>
      <c r="M403" s="1">
        <v>5.6</v>
      </c>
      <c r="N403" s="1">
        <f>IF(AND(ISNUMBER(U403),U403&gt;0,ISNUMBER(J403)),ROUND(J403/U403,2),"")</f>
        <v>6.05</v>
      </c>
      <c r="Q403" t="s">
        <v>40</v>
      </c>
      <c r="R403" t="s">
        <v>39</v>
      </c>
      <c r="S403">
        <v>741109</v>
      </c>
      <c r="T403">
        <v>741109</v>
      </c>
      <c r="U403" s="3">
        <v>1</v>
      </c>
      <c r="X403" t="s">
        <v>41</v>
      </c>
      <c r="Z403" s="1">
        <v>5.6</v>
      </c>
      <c r="AA403" s="1">
        <f>IF(AND(ISNUMBER(Z403),ISNUMBER(I403),I403&gt;0,ISNUMBER(J403)),ROUND(Z403*J403/I403,2),"")</f>
        <v>6.05</v>
      </c>
      <c r="AB403" t="s">
        <v>42</v>
      </c>
      <c r="AC403" t="s">
        <v>43</v>
      </c>
      <c r="AD403" t="s">
        <v>48</v>
      </c>
      <c r="AE403" t="s">
        <v>45</v>
      </c>
    </row>
    <row r="404">
      <c r="A404">
        <v>1004866</v>
      </c>
      <c r="B404">
        <v>1004866</v>
      </c>
      <c r="C404" t="s">
        <v>747</v>
      </c>
      <c r="D404" t="s">
        <v>718</v>
      </c>
      <c r="E404" t="s">
        <v>748</v>
      </c>
      <c r="F404" s="1">
        <v>1.5</v>
      </c>
      <c r="G404" s="2">
        <v>0.4</v>
      </c>
      <c r="H404" s="2">
        <v>0.512</v>
      </c>
      <c r="I404" s="1">
        <v>2.1</v>
      </c>
      <c r="J404" s="1">
        <f>IF(AND(ISNUMBER(F404),ISNUMBER(H404)),ROUND(F404*(1+H404),2),"")</f>
        <v>2.27</v>
      </c>
      <c r="K404" s="2">
        <f>IF(AND(ISNUMBER(I404),I404&gt;0,ISNUMBER(J404)),J404/I404-1,"")</f>
        <v>0.08095238095238089</v>
      </c>
      <c r="L404" t="s">
        <v>38</v>
      </c>
      <c r="M404" s="1">
        <v>2.1</v>
      </c>
      <c r="N404" s="1">
        <f>IF(AND(ISNUMBER(U404),U404&gt;0,ISNUMBER(J404)),ROUND(J404/U404,2),"")</f>
        <v>2.27</v>
      </c>
      <c r="Q404" t="s">
        <v>40</v>
      </c>
      <c r="R404" t="s">
        <v>39</v>
      </c>
      <c r="S404">
        <v>785038</v>
      </c>
      <c r="T404">
        <v>785038</v>
      </c>
      <c r="U404" s="3">
        <v>1</v>
      </c>
      <c r="X404" t="s">
        <v>41</v>
      </c>
      <c r="Z404" s="1">
        <v>2.1</v>
      </c>
      <c r="AA404" s="1">
        <f>IF(AND(ISNUMBER(Z404),ISNUMBER(I404),I404&gt;0,ISNUMBER(J404)),ROUND(Z404*J404/I404,2),"")</f>
        <v>2.27</v>
      </c>
      <c r="AB404" t="s">
        <v>42</v>
      </c>
      <c r="AC404" t="s">
        <v>43</v>
      </c>
      <c r="AD404" t="s">
        <v>44</v>
      </c>
      <c r="AE404" t="s">
        <v>45</v>
      </c>
    </row>
    <row r="405">
      <c r="A405">
        <v>988134</v>
      </c>
      <c r="B405">
        <v>988134</v>
      </c>
      <c r="C405" t="s">
        <v>749</v>
      </c>
      <c r="D405" t="s">
        <v>718</v>
      </c>
      <c r="E405" t="s">
        <v>92</v>
      </c>
      <c r="F405" s="1">
        <v>10</v>
      </c>
      <c r="G405" s="2">
        <v>0.4</v>
      </c>
      <c r="H405" s="2">
        <v>0.512</v>
      </c>
      <c r="I405" s="1">
        <v>14</v>
      </c>
      <c r="J405" s="1">
        <f>IF(AND(ISNUMBER(F405),ISNUMBER(H405)),ROUND(F405*(1+H405),2),"")</f>
        <v>15.12</v>
      </c>
      <c r="K405" s="2">
        <f>IF(AND(ISNUMBER(I405),I405&gt;0,ISNUMBER(J405)),J405/I405-1,"")</f>
        <v>0.07999999999999985</v>
      </c>
      <c r="L405" t="s">
        <v>38</v>
      </c>
      <c r="M405" s="1">
        <v>14</v>
      </c>
      <c r="N405" s="1">
        <f>IF(AND(ISNUMBER(U405),U405&gt;0,ISNUMBER(J405)),ROUND(J405/U405,2),"")</f>
        <v>15.12</v>
      </c>
      <c r="Q405" t="s">
        <v>40</v>
      </c>
      <c r="R405" t="s">
        <v>39</v>
      </c>
      <c r="S405">
        <v>759450</v>
      </c>
      <c r="T405">
        <v>759450</v>
      </c>
      <c r="U405" s="3">
        <v>1</v>
      </c>
      <c r="X405" t="s">
        <v>41</v>
      </c>
      <c r="Z405" s="1">
        <v>14</v>
      </c>
      <c r="AA405" s="1">
        <f>IF(AND(ISNUMBER(Z405),ISNUMBER(I405),I405&gt;0,ISNUMBER(J405)),ROUND(Z405*J405/I405,2),"")</f>
        <v>15.12</v>
      </c>
      <c r="AB405" t="s">
        <v>42</v>
      </c>
      <c r="AC405" t="s">
        <v>43</v>
      </c>
      <c r="AD405" t="s">
        <v>48</v>
      </c>
      <c r="AE405" t="s">
        <v>45</v>
      </c>
    </row>
    <row r="406">
      <c r="A406">
        <v>1122274</v>
      </c>
      <c r="B406">
        <v>1122274</v>
      </c>
      <c r="C406" t="s">
        <v>117</v>
      </c>
      <c r="D406" t="s">
        <v>718</v>
      </c>
      <c r="E406" t="s">
        <v>98</v>
      </c>
      <c r="F406" s="1">
        <v>2</v>
      </c>
      <c r="G406" s="2">
        <v>0.4</v>
      </c>
      <c r="H406" s="2">
        <v>0.512</v>
      </c>
      <c r="I406" s="1">
        <v>2.8</v>
      </c>
      <c r="J406" s="1">
        <f>IF(AND(ISNUMBER(F406),ISNUMBER(H406)),ROUND(F406*(1+H406),2),"")</f>
        <v>3.02</v>
      </c>
      <c r="K406" s="2">
        <f>IF(AND(ISNUMBER(I406),I406&gt;0,ISNUMBER(J406)),J406/I406-1,"")</f>
        <v>0.07857142857142874</v>
      </c>
      <c r="L406" t="s">
        <v>38</v>
      </c>
      <c r="N406" s="1" t="s">
        <f>IF(AND(ISNUMBER(U406),U406&gt;0,ISNUMBER(J406)),ROUND(J406/U406,2),"")</f>
        <v>39</v>
      </c>
      <c r="Q406" t="s">
        <v>40</v>
      </c>
      <c r="R406" t="s">
        <v>39</v>
      </c>
      <c r="S406">
        <v>950702</v>
      </c>
      <c r="T406">
        <v>950702</v>
      </c>
      <c r="X406" t="s">
        <v>41</v>
      </c>
      <c r="Z406" s="1">
        <v>2.8</v>
      </c>
      <c r="AA406" s="1">
        <f>IF(AND(ISNUMBER(Z406),ISNUMBER(I406),I406&gt;0,ISNUMBER(J406)),ROUND(Z406*J406/I406,2),"")</f>
        <v>3.02</v>
      </c>
      <c r="AB406" t="s">
        <v>42</v>
      </c>
      <c r="AC406" t="s">
        <v>43</v>
      </c>
      <c r="AD406" t="s">
        <v>48</v>
      </c>
      <c r="AE406" t="s">
        <v>45</v>
      </c>
    </row>
    <row r="407">
      <c r="A407">
        <v>978368</v>
      </c>
      <c r="B407">
        <v>978368</v>
      </c>
      <c r="C407" t="s">
        <v>750</v>
      </c>
      <c r="D407" t="s">
        <v>718</v>
      </c>
      <c r="E407" t="s">
        <v>153</v>
      </c>
      <c r="F407" s="1">
        <v>4</v>
      </c>
      <c r="G407" s="2">
        <v>0.4</v>
      </c>
      <c r="H407" s="2">
        <v>0.512</v>
      </c>
      <c r="I407" s="1">
        <v>5.6</v>
      </c>
      <c r="J407" s="1">
        <f>IF(AND(ISNUMBER(F407),ISNUMBER(H407)),ROUND(F407*(1+H407),2),"")</f>
        <v>6.05</v>
      </c>
      <c r="K407" s="2">
        <f>IF(AND(ISNUMBER(I407),I407&gt;0,ISNUMBER(J407)),J407/I407-1,"")</f>
        <v>0.0803571428571428</v>
      </c>
      <c r="L407" t="s">
        <v>751</v>
      </c>
      <c r="M407" s="1">
        <v>11.2</v>
      </c>
      <c r="N407" s="1">
        <f>IF(AND(ISNUMBER(U407),U407&gt;0,ISNUMBER(J407)),ROUND(J407/U407,2),"")</f>
        <v>12.1</v>
      </c>
      <c r="Q407" t="s">
        <v>166</v>
      </c>
      <c r="R407" t="s">
        <v>39</v>
      </c>
      <c r="S407">
        <v>745074</v>
      </c>
      <c r="T407">
        <v>745074</v>
      </c>
      <c r="U407" s="3">
        <v>0.5</v>
      </c>
      <c r="X407" t="s">
        <v>41</v>
      </c>
      <c r="AA407" s="1" t="s">
        <f>IF(AND(ISNUMBER(Z407),ISNUMBER(I407),I407&gt;0,ISNUMBER(J407)),ROUND(Z407*J407/I407,2),"")</f>
        <v>39</v>
      </c>
      <c r="AB407" t="s">
        <v>42</v>
      </c>
      <c r="AC407" t="s">
        <v>752</v>
      </c>
      <c r="AD407" t="s">
        <v>48</v>
      </c>
      <c r="AE407" t="s">
        <v>45</v>
      </c>
    </row>
    <row r="408">
      <c r="A408">
        <v>805922</v>
      </c>
      <c r="B408">
        <v>805922</v>
      </c>
      <c r="C408" t="s">
        <v>753</v>
      </c>
      <c r="D408" t="s">
        <v>718</v>
      </c>
      <c r="E408" t="s">
        <v>100</v>
      </c>
      <c r="F408" s="1">
        <v>2</v>
      </c>
      <c r="G408" s="2">
        <v>0.4</v>
      </c>
      <c r="H408" s="2">
        <v>0.512</v>
      </c>
      <c r="I408" s="1">
        <v>2.8</v>
      </c>
      <c r="J408" s="1">
        <f>IF(AND(ISNUMBER(F408),ISNUMBER(H408)),ROUND(F408*(1+H408),2),"")</f>
        <v>3.02</v>
      </c>
      <c r="K408" s="2">
        <f>IF(AND(ISNUMBER(I408),I408&gt;0,ISNUMBER(J408)),J408/I408-1,"")</f>
        <v>0.07857142857142874</v>
      </c>
      <c r="L408" t="s">
        <v>38</v>
      </c>
      <c r="M408" s="1">
        <v>2.8</v>
      </c>
      <c r="N408" s="1">
        <f>IF(AND(ISNUMBER(U408),U408&gt;0,ISNUMBER(J408)),ROUND(J408/U408,2),"")</f>
        <v>3.02</v>
      </c>
      <c r="Q408" t="s">
        <v>40</v>
      </c>
      <c r="R408" t="s">
        <v>39</v>
      </c>
      <c r="S408">
        <v>526982</v>
      </c>
      <c r="T408">
        <v>526982</v>
      </c>
      <c r="U408" s="3">
        <v>1</v>
      </c>
      <c r="X408" t="s">
        <v>41</v>
      </c>
      <c r="Z408" s="1">
        <v>2.8</v>
      </c>
      <c r="AA408" s="1">
        <f>IF(AND(ISNUMBER(Z408),ISNUMBER(I408),I408&gt;0,ISNUMBER(J408)),ROUND(Z408*J408/I408,2),"")</f>
        <v>3.02</v>
      </c>
      <c r="AB408" t="s">
        <v>42</v>
      </c>
      <c r="AC408" t="s">
        <v>43</v>
      </c>
      <c r="AD408" t="s">
        <v>44</v>
      </c>
      <c r="AE408" t="s">
        <v>45</v>
      </c>
    </row>
    <row r="409">
      <c r="A409">
        <v>1000029</v>
      </c>
      <c r="B409">
        <v>1000029</v>
      </c>
      <c r="C409" t="s">
        <v>754</v>
      </c>
      <c r="D409" t="s">
        <v>718</v>
      </c>
      <c r="E409" t="s">
        <v>113</v>
      </c>
      <c r="F409" s="1">
        <v>3.25</v>
      </c>
      <c r="G409" s="2">
        <v>0.4</v>
      </c>
      <c r="H409" s="2">
        <v>0.512</v>
      </c>
      <c r="I409" s="1">
        <v>4.55</v>
      </c>
      <c r="J409" s="1">
        <f>IF(AND(ISNUMBER(F409),ISNUMBER(H409)),ROUND(F409*(1+H409),2),"")</f>
        <v>4.91</v>
      </c>
      <c r="K409" s="2">
        <f>IF(AND(ISNUMBER(I409),I409&gt;0,ISNUMBER(J409)),J409/I409-1,"")</f>
        <v>0.07912087912087928</v>
      </c>
      <c r="L409" t="s">
        <v>755</v>
      </c>
      <c r="M409" s="1">
        <v>4.55</v>
      </c>
      <c r="N409" s="1">
        <f>IF(AND(ISNUMBER(U409),U409&gt;0,ISNUMBER(J409)),ROUND(J409/U409,2),"")</f>
        <v>4.91</v>
      </c>
      <c r="Q409" t="s">
        <v>40</v>
      </c>
      <c r="R409" t="s">
        <v>39</v>
      </c>
      <c r="S409">
        <v>777061</v>
      </c>
      <c r="T409">
        <v>777061</v>
      </c>
      <c r="U409" s="3">
        <v>1</v>
      </c>
      <c r="X409" t="s">
        <v>41</v>
      </c>
      <c r="Z409" s="1">
        <v>5.99</v>
      </c>
      <c r="AA409" s="1">
        <f>IF(AND(ISNUMBER(Z409),ISNUMBER(I409),I409&gt;0,ISNUMBER(J409)),ROUND(Z409*J409/I409,2),"")</f>
        <v>6.46</v>
      </c>
      <c r="AB409" t="s">
        <v>42</v>
      </c>
      <c r="AC409" t="s">
        <v>756</v>
      </c>
      <c r="AD409" t="s">
        <v>48</v>
      </c>
      <c r="AE409" t="s">
        <v>45</v>
      </c>
    </row>
    <row r="410">
      <c r="A410">
        <v>805757</v>
      </c>
      <c r="B410">
        <v>805757</v>
      </c>
      <c r="C410" t="s">
        <v>757</v>
      </c>
      <c r="D410" t="s">
        <v>718</v>
      </c>
      <c r="E410" t="s">
        <v>96</v>
      </c>
      <c r="F410" s="1">
        <v>6.65</v>
      </c>
      <c r="G410" s="2">
        <v>0.4</v>
      </c>
      <c r="H410" s="2">
        <v>0.512</v>
      </c>
      <c r="I410" s="1">
        <v>9.31</v>
      </c>
      <c r="J410" s="1">
        <f>IF(AND(ISNUMBER(F410),ISNUMBER(H410)),ROUND(F410*(1+H410),2),"")</f>
        <v>10.05</v>
      </c>
      <c r="K410" s="2">
        <f>IF(AND(ISNUMBER(I410),I410&gt;0,ISNUMBER(J410)),J410/I410-1,"")</f>
        <v>0.07948442534908695</v>
      </c>
      <c r="L410" t="s">
        <v>38</v>
      </c>
      <c r="N410" s="1" t="s">
        <f>IF(AND(ISNUMBER(U410),U410&gt;0,ISNUMBER(J410)),ROUND(J410/U410,2),"")</f>
        <v>39</v>
      </c>
      <c r="Q410" t="s">
        <v>40</v>
      </c>
      <c r="R410" t="s">
        <v>39</v>
      </c>
      <c r="S410">
        <v>526812</v>
      </c>
      <c r="T410">
        <v>526812</v>
      </c>
      <c r="X410" t="s">
        <v>41</v>
      </c>
      <c r="Z410" s="1">
        <v>9.31</v>
      </c>
      <c r="AA410" s="1">
        <f>IF(AND(ISNUMBER(Z410),ISNUMBER(I410),I410&gt;0,ISNUMBER(J410)),ROUND(Z410*J410/I410,2),"")</f>
        <v>10.05</v>
      </c>
      <c r="AB410" t="s">
        <v>42</v>
      </c>
      <c r="AC410" t="s">
        <v>43</v>
      </c>
      <c r="AD410" t="s">
        <v>48</v>
      </c>
      <c r="AE410" t="s">
        <v>45</v>
      </c>
    </row>
    <row r="411">
      <c r="A411">
        <v>812620</v>
      </c>
      <c r="B411">
        <v>812620</v>
      </c>
      <c r="C411" t="s">
        <v>758</v>
      </c>
      <c r="D411" t="s">
        <v>718</v>
      </c>
      <c r="E411" t="s">
        <v>113</v>
      </c>
      <c r="F411" s="1">
        <v>2.8</v>
      </c>
      <c r="G411" s="2">
        <v>0.4</v>
      </c>
      <c r="H411" s="2">
        <v>0.512</v>
      </c>
      <c r="I411" s="1">
        <v>3.92</v>
      </c>
      <c r="J411" s="1">
        <f>IF(AND(ISNUMBER(F411),ISNUMBER(H411)),ROUND(F411*(1+H411),2),"")</f>
        <v>4.23</v>
      </c>
      <c r="K411" s="2">
        <f>IF(AND(ISNUMBER(I411),I411&gt;0,ISNUMBER(J411)),J411/I411-1,"")</f>
        <v>0.07908163265306145</v>
      </c>
      <c r="L411" t="s">
        <v>38</v>
      </c>
      <c r="M411" s="1">
        <v>3.92</v>
      </c>
      <c r="N411" s="1">
        <f>IF(AND(ISNUMBER(U411),U411&gt;0,ISNUMBER(J411)),ROUND(J411/U411,2),"")</f>
        <v>4.23</v>
      </c>
      <c r="Q411" t="s">
        <v>40</v>
      </c>
      <c r="R411" t="s">
        <v>39</v>
      </c>
      <c r="S411">
        <v>534488</v>
      </c>
      <c r="T411">
        <v>534488</v>
      </c>
      <c r="U411" s="3">
        <v>1</v>
      </c>
      <c r="X411" t="s">
        <v>41</v>
      </c>
      <c r="Z411" s="1">
        <v>3.92</v>
      </c>
      <c r="AA411" s="1">
        <f>IF(AND(ISNUMBER(Z411),ISNUMBER(I411),I411&gt;0,ISNUMBER(J411)),ROUND(Z411*J411/I411,2),"")</f>
        <v>4.23</v>
      </c>
      <c r="AB411" t="s">
        <v>42</v>
      </c>
      <c r="AC411" t="s">
        <v>43</v>
      </c>
      <c r="AD411" t="s">
        <v>44</v>
      </c>
      <c r="AE411" t="s">
        <v>45</v>
      </c>
    </row>
    <row r="412">
      <c r="A412">
        <v>1000031</v>
      </c>
      <c r="B412">
        <v>1000031</v>
      </c>
      <c r="C412" t="s">
        <v>759</v>
      </c>
      <c r="D412" t="s">
        <v>718</v>
      </c>
      <c r="E412" t="s">
        <v>100</v>
      </c>
      <c r="F412" s="1">
        <v>2.5</v>
      </c>
      <c r="G412" s="2">
        <v>0.4</v>
      </c>
      <c r="H412" s="2">
        <v>0.512</v>
      </c>
      <c r="I412" s="1">
        <v>3.5</v>
      </c>
      <c r="J412" s="1">
        <f>IF(AND(ISNUMBER(F412),ISNUMBER(H412)),ROUND(F412*(1+H412),2),"")</f>
        <v>3.78</v>
      </c>
      <c r="K412" s="2">
        <f>IF(AND(ISNUMBER(I412),I412&gt;0,ISNUMBER(J412)),J412/I412-1,"")</f>
        <v>0.07999999999999985</v>
      </c>
      <c r="L412" t="s">
        <v>38</v>
      </c>
      <c r="M412" s="1">
        <v>3.5</v>
      </c>
      <c r="N412" s="1">
        <f>IF(AND(ISNUMBER(U412),U412&gt;0,ISNUMBER(J412)),ROUND(J412/U412,2),"")</f>
        <v>3.78</v>
      </c>
      <c r="Q412" t="s">
        <v>40</v>
      </c>
      <c r="R412" t="s">
        <v>39</v>
      </c>
      <c r="S412">
        <v>777063</v>
      </c>
      <c r="T412">
        <v>777063</v>
      </c>
      <c r="U412" s="3">
        <v>1</v>
      </c>
      <c r="X412" t="s">
        <v>41</v>
      </c>
      <c r="Z412" s="1">
        <v>3.5</v>
      </c>
      <c r="AA412" s="1">
        <f>IF(AND(ISNUMBER(Z412),ISNUMBER(I412),I412&gt;0,ISNUMBER(J412)),ROUND(Z412*J412/I412,2),"")</f>
        <v>3.78</v>
      </c>
      <c r="AB412" t="s">
        <v>42</v>
      </c>
      <c r="AC412" t="s">
        <v>43</v>
      </c>
      <c r="AD412" t="s">
        <v>48</v>
      </c>
      <c r="AE412" t="s">
        <v>45</v>
      </c>
    </row>
    <row r="413">
      <c r="A413">
        <v>1091600</v>
      </c>
      <c r="B413">
        <v>1091600</v>
      </c>
      <c r="C413" t="s">
        <v>760</v>
      </c>
      <c r="D413" t="s">
        <v>718</v>
      </c>
      <c r="E413" t="s">
        <v>98</v>
      </c>
      <c r="F413" s="1">
        <v>3.5</v>
      </c>
      <c r="G413" s="2">
        <v>0.4</v>
      </c>
      <c r="H413" s="2">
        <v>0.512</v>
      </c>
      <c r="I413" s="1">
        <v>4.9</v>
      </c>
      <c r="J413" s="1">
        <f>IF(AND(ISNUMBER(F413),ISNUMBER(H413)),ROUND(F413*(1+H413),2),"")</f>
        <v>5.29</v>
      </c>
      <c r="K413" s="2">
        <f>IF(AND(ISNUMBER(I413),I413&gt;0,ISNUMBER(J413)),J413/I413-1,"")</f>
        <v>0.07959183673469372</v>
      </c>
      <c r="L413" t="s">
        <v>38</v>
      </c>
      <c r="N413" s="1" t="s">
        <f>IF(AND(ISNUMBER(U413),U413&gt;0,ISNUMBER(J413)),ROUND(J413/U413,2),"")</f>
        <v>39</v>
      </c>
      <c r="Q413" t="s">
        <v>40</v>
      </c>
      <c r="R413" t="s">
        <v>39</v>
      </c>
      <c r="S413">
        <v>905262</v>
      </c>
      <c r="T413">
        <v>905262</v>
      </c>
      <c r="X413" t="s">
        <v>41</v>
      </c>
      <c r="Z413" s="1">
        <v>4.9</v>
      </c>
      <c r="AA413" s="1">
        <f>IF(AND(ISNUMBER(Z413),ISNUMBER(I413),I413&gt;0,ISNUMBER(J413)),ROUND(Z413*J413/I413,2),"")</f>
        <v>5.29</v>
      </c>
      <c r="AB413" t="s">
        <v>42</v>
      </c>
      <c r="AC413" t="s">
        <v>43</v>
      </c>
      <c r="AD413" t="s">
        <v>48</v>
      </c>
      <c r="AE413" t="s">
        <v>45</v>
      </c>
    </row>
    <row r="414">
      <c r="A414">
        <v>1091602</v>
      </c>
      <c r="B414">
        <v>1091602</v>
      </c>
      <c r="C414" t="s">
        <v>761</v>
      </c>
      <c r="D414" t="s">
        <v>718</v>
      </c>
      <c r="E414" t="s">
        <v>98</v>
      </c>
      <c r="F414" s="1">
        <v>3</v>
      </c>
      <c r="G414" s="2">
        <v>0</v>
      </c>
      <c r="H414" s="2">
        <v>0.08</v>
      </c>
      <c r="I414" s="1">
        <v>3</v>
      </c>
      <c r="J414" s="1">
        <f>IF(AND(ISNUMBER(F414),ISNUMBER(H414)),ROUND(F414*(1+H414),2),"")</f>
        <v>3.24</v>
      </c>
      <c r="K414" s="2">
        <f>IF(AND(ISNUMBER(I414),I414&gt;0,ISNUMBER(J414)),J414/I414-1,"")</f>
        <v>0.08000000000000007</v>
      </c>
      <c r="L414" t="s">
        <v>38</v>
      </c>
      <c r="N414" s="1" t="s">
        <f>IF(AND(ISNUMBER(U414),U414&gt;0,ISNUMBER(J414)),ROUND(J414/U414,2),"")</f>
        <v>39</v>
      </c>
      <c r="Q414" t="s">
        <v>40</v>
      </c>
      <c r="R414" t="s">
        <v>39</v>
      </c>
      <c r="S414">
        <v>905264</v>
      </c>
      <c r="T414">
        <v>905264</v>
      </c>
      <c r="X414" t="s">
        <v>41</v>
      </c>
      <c r="Z414" s="1">
        <v>3</v>
      </c>
      <c r="AA414" s="1">
        <f>IF(AND(ISNUMBER(Z414),ISNUMBER(I414),I414&gt;0,ISNUMBER(J414)),ROUND(Z414*J414/I414,2),"")</f>
        <v>3.24</v>
      </c>
      <c r="AB414" t="s">
        <v>231</v>
      </c>
      <c r="AC414" t="s">
        <v>762</v>
      </c>
      <c r="AD414" t="s">
        <v>48</v>
      </c>
      <c r="AE414" t="s">
        <v>45</v>
      </c>
    </row>
    <row r="415">
      <c r="A415">
        <v>914550</v>
      </c>
      <c r="B415">
        <v>914550</v>
      </c>
      <c r="C415" t="s">
        <v>763</v>
      </c>
      <c r="D415" t="s">
        <v>718</v>
      </c>
      <c r="E415" t="s">
        <v>113</v>
      </c>
      <c r="F415" s="1">
        <v>2</v>
      </c>
      <c r="G415" s="2">
        <v>0.4</v>
      </c>
      <c r="H415" s="2">
        <v>0.512</v>
      </c>
      <c r="I415" s="1">
        <v>2.8</v>
      </c>
      <c r="J415" s="1">
        <f>IF(AND(ISNUMBER(F415),ISNUMBER(H415)),ROUND(F415*(1+H415),2),"")</f>
        <v>3.02</v>
      </c>
      <c r="K415" s="2">
        <f>IF(AND(ISNUMBER(I415),I415&gt;0,ISNUMBER(J415)),J415/I415-1,"")</f>
        <v>0.07857142857142874</v>
      </c>
      <c r="L415" t="s">
        <v>38</v>
      </c>
      <c r="M415" s="1">
        <v>2.8</v>
      </c>
      <c r="N415" s="1">
        <f>IF(AND(ISNUMBER(U415),U415&gt;0,ISNUMBER(J415)),ROUND(J415/U415,2),"")</f>
        <v>3.02</v>
      </c>
      <c r="Q415" t="s">
        <v>40</v>
      </c>
      <c r="R415" t="s">
        <v>39</v>
      </c>
      <c r="S415">
        <v>660245</v>
      </c>
      <c r="T415">
        <v>660245</v>
      </c>
      <c r="U415" s="3">
        <v>1</v>
      </c>
      <c r="X415" t="s">
        <v>41</v>
      </c>
      <c r="Z415" s="1">
        <v>2.8</v>
      </c>
      <c r="AA415" s="1">
        <f>IF(AND(ISNUMBER(Z415),ISNUMBER(I415),I415&gt;0,ISNUMBER(J415)),ROUND(Z415*J415/I415,2),"")</f>
        <v>3.02</v>
      </c>
      <c r="AB415" t="s">
        <v>42</v>
      </c>
      <c r="AC415" t="s">
        <v>43</v>
      </c>
      <c r="AD415" t="s">
        <v>48</v>
      </c>
      <c r="AE415" t="s">
        <v>45</v>
      </c>
    </row>
    <row r="416">
      <c r="A416">
        <v>882733</v>
      </c>
      <c r="B416">
        <v>882733</v>
      </c>
      <c r="C416" t="s">
        <v>764</v>
      </c>
      <c r="D416" t="s">
        <v>718</v>
      </c>
      <c r="E416" t="s">
        <v>153</v>
      </c>
      <c r="F416" s="1">
        <v>5</v>
      </c>
      <c r="G416" s="2">
        <v>0.4</v>
      </c>
      <c r="H416" s="2">
        <v>0.512</v>
      </c>
      <c r="I416" s="1">
        <v>7</v>
      </c>
      <c r="J416" s="1">
        <f>IF(AND(ISNUMBER(F416),ISNUMBER(H416)),ROUND(F416*(1+H416),2),"")</f>
        <v>7.56</v>
      </c>
      <c r="K416" s="2">
        <f>IF(AND(ISNUMBER(I416),I416&gt;0,ISNUMBER(J416)),J416/I416-1,"")</f>
        <v>0.07999999999999985</v>
      </c>
      <c r="L416" t="s">
        <v>38</v>
      </c>
      <c r="M416" s="1">
        <v>14</v>
      </c>
      <c r="N416" s="1">
        <f>IF(AND(ISNUMBER(U416),U416&gt;0,ISNUMBER(J416)),ROUND(J416/U416,2),"")</f>
        <v>15.12</v>
      </c>
      <c r="Q416" t="s">
        <v>40</v>
      </c>
      <c r="R416" t="s">
        <v>39</v>
      </c>
      <c r="S416">
        <v>619491</v>
      </c>
      <c r="T416">
        <v>619491</v>
      </c>
      <c r="U416" s="3">
        <v>0.5</v>
      </c>
      <c r="X416" t="s">
        <v>41</v>
      </c>
      <c r="Z416" s="1">
        <v>7</v>
      </c>
      <c r="AA416" s="1">
        <f>IF(AND(ISNUMBER(Z416),ISNUMBER(I416),I416&gt;0,ISNUMBER(J416)),ROUND(Z416*J416/I416,2),"")</f>
        <v>7.56</v>
      </c>
      <c r="AB416" t="s">
        <v>42</v>
      </c>
      <c r="AC416" t="s">
        <v>43</v>
      </c>
      <c r="AD416" t="s">
        <v>48</v>
      </c>
      <c r="AE416" t="s">
        <v>45</v>
      </c>
    </row>
    <row r="417">
      <c r="A417">
        <v>805862</v>
      </c>
      <c r="B417">
        <v>805862</v>
      </c>
      <c r="C417" t="s">
        <v>765</v>
      </c>
      <c r="D417" t="s">
        <v>718</v>
      </c>
      <c r="E417" t="s">
        <v>100</v>
      </c>
      <c r="F417" s="1">
        <v>4</v>
      </c>
      <c r="G417" s="2">
        <v>0.4</v>
      </c>
      <c r="H417" s="2">
        <v>0.512</v>
      </c>
      <c r="I417" s="1">
        <v>5.6</v>
      </c>
      <c r="J417" s="1">
        <f>IF(AND(ISNUMBER(F417),ISNUMBER(H417)),ROUND(F417*(1+H417),2),"")</f>
        <v>6.05</v>
      </c>
      <c r="K417" s="2">
        <f>IF(AND(ISNUMBER(I417),I417&gt;0,ISNUMBER(J417)),J417/I417-1,"")</f>
        <v>0.0803571428571428</v>
      </c>
      <c r="L417" t="s">
        <v>38</v>
      </c>
      <c r="M417" s="1">
        <v>5.6</v>
      </c>
      <c r="N417" s="1">
        <f>IF(AND(ISNUMBER(U417),U417&gt;0,ISNUMBER(J417)),ROUND(J417/U417,2),"")</f>
        <v>6.05</v>
      </c>
      <c r="Q417" t="s">
        <v>40</v>
      </c>
      <c r="R417" t="s">
        <v>39</v>
      </c>
      <c r="S417">
        <v>526920</v>
      </c>
      <c r="T417">
        <v>526920</v>
      </c>
      <c r="U417" s="3">
        <v>1</v>
      </c>
      <c r="X417" t="s">
        <v>41</v>
      </c>
      <c r="Z417" s="1">
        <v>5.6</v>
      </c>
      <c r="AA417" s="1">
        <f>IF(AND(ISNUMBER(Z417),ISNUMBER(I417),I417&gt;0,ISNUMBER(J417)),ROUND(Z417*J417/I417,2),"")</f>
        <v>6.05</v>
      </c>
      <c r="AB417" t="s">
        <v>42</v>
      </c>
      <c r="AC417" t="s">
        <v>43</v>
      </c>
      <c r="AD417" t="s">
        <v>48</v>
      </c>
      <c r="AE417" t="s">
        <v>45</v>
      </c>
    </row>
    <row r="418">
      <c r="A418">
        <v>805855</v>
      </c>
      <c r="B418">
        <v>805855</v>
      </c>
      <c r="C418" t="s">
        <v>766</v>
      </c>
      <c r="D418" t="s">
        <v>718</v>
      </c>
      <c r="E418" t="s">
        <v>100</v>
      </c>
      <c r="F418" s="1">
        <v>2.5</v>
      </c>
      <c r="G418" s="2">
        <v>0.4</v>
      </c>
      <c r="H418" s="2">
        <v>0.512</v>
      </c>
      <c r="I418" s="1">
        <v>3.5</v>
      </c>
      <c r="J418" s="1">
        <f>IF(AND(ISNUMBER(F418),ISNUMBER(H418)),ROUND(F418*(1+H418),2),"")</f>
        <v>3.78</v>
      </c>
      <c r="K418" s="2">
        <f>IF(AND(ISNUMBER(I418),I418&gt;0,ISNUMBER(J418)),J418/I418-1,"")</f>
        <v>0.07999999999999985</v>
      </c>
      <c r="L418" t="s">
        <v>767</v>
      </c>
      <c r="M418" s="1">
        <v>3.5</v>
      </c>
      <c r="N418" s="1">
        <f>IF(AND(ISNUMBER(U418),U418&gt;0,ISNUMBER(J418)),ROUND(J418/U418,2),"")</f>
        <v>3.78</v>
      </c>
      <c r="Q418" t="s">
        <v>40</v>
      </c>
      <c r="R418" t="s">
        <v>39</v>
      </c>
      <c r="S418">
        <v>526913</v>
      </c>
      <c r="T418">
        <v>526913</v>
      </c>
      <c r="U418" s="3">
        <v>1</v>
      </c>
      <c r="X418" t="s">
        <v>41</v>
      </c>
      <c r="Z418" s="1">
        <v>4.52</v>
      </c>
      <c r="AA418" s="1">
        <f>IF(AND(ISNUMBER(Z418),ISNUMBER(I418),I418&gt;0,ISNUMBER(J418)),ROUND(Z418*J418/I418,2),"")</f>
        <v>4.88</v>
      </c>
      <c r="AB418" t="s">
        <v>42</v>
      </c>
      <c r="AC418" t="s">
        <v>756</v>
      </c>
      <c r="AD418" t="s">
        <v>48</v>
      </c>
      <c r="AE418" t="s">
        <v>45</v>
      </c>
    </row>
    <row r="419">
      <c r="A419">
        <v>986031</v>
      </c>
      <c r="B419">
        <v>986031</v>
      </c>
      <c r="C419" t="s">
        <v>768</v>
      </c>
      <c r="D419" t="s">
        <v>718</v>
      </c>
      <c r="E419" t="s">
        <v>153</v>
      </c>
      <c r="F419" s="1">
        <v>5</v>
      </c>
      <c r="G419" s="2">
        <v>0.4</v>
      </c>
      <c r="H419" s="2">
        <v>0.512</v>
      </c>
      <c r="I419" s="1">
        <v>7</v>
      </c>
      <c r="J419" s="1">
        <f>IF(AND(ISNUMBER(F419),ISNUMBER(H419)),ROUND(F419*(1+H419),2),"")</f>
        <v>7.56</v>
      </c>
      <c r="K419" s="2">
        <f>IF(AND(ISNUMBER(I419),I419&gt;0,ISNUMBER(J419)),J419/I419-1,"")</f>
        <v>0.07999999999999985</v>
      </c>
      <c r="L419" t="s">
        <v>38</v>
      </c>
      <c r="M419" s="1">
        <v>14</v>
      </c>
      <c r="N419" s="1">
        <f>IF(AND(ISNUMBER(U419),U419&gt;0,ISNUMBER(J419)),ROUND(J419/U419,2),"")</f>
        <v>15.12</v>
      </c>
      <c r="Q419" t="s">
        <v>40</v>
      </c>
      <c r="R419" t="s">
        <v>39</v>
      </c>
      <c r="S419">
        <v>756214</v>
      </c>
      <c r="T419">
        <v>756214</v>
      </c>
      <c r="U419" s="3">
        <v>0.5</v>
      </c>
      <c r="X419" t="s">
        <v>41</v>
      </c>
      <c r="Z419" s="1">
        <v>7</v>
      </c>
      <c r="AA419" s="1">
        <f>IF(AND(ISNUMBER(Z419),ISNUMBER(I419),I419&gt;0,ISNUMBER(J419)),ROUND(Z419*J419/I419,2),"")</f>
        <v>7.56</v>
      </c>
      <c r="AB419" t="s">
        <v>42</v>
      </c>
      <c r="AC419" t="s">
        <v>43</v>
      </c>
      <c r="AD419" t="s">
        <v>48</v>
      </c>
      <c r="AE419" t="s">
        <v>45</v>
      </c>
    </row>
    <row r="420">
      <c r="A420">
        <v>905272</v>
      </c>
      <c r="B420">
        <v>905272</v>
      </c>
      <c r="C420" t="s">
        <v>769</v>
      </c>
      <c r="D420" t="s">
        <v>718</v>
      </c>
      <c r="E420" t="s">
        <v>770</v>
      </c>
      <c r="F420" s="1">
        <v>8</v>
      </c>
      <c r="G420" s="2">
        <v>0.4</v>
      </c>
      <c r="H420" s="2">
        <v>0.512</v>
      </c>
      <c r="I420" s="1">
        <v>11.2</v>
      </c>
      <c r="J420" s="1">
        <f>IF(AND(ISNUMBER(F420),ISNUMBER(H420)),ROUND(F420*(1+H420),2),"")</f>
        <v>12.1</v>
      </c>
      <c r="K420" s="2">
        <f>IF(AND(ISNUMBER(I420),I420&gt;0,ISNUMBER(J420)),J420/I420-1,"")</f>
        <v>0.0803571428571428</v>
      </c>
      <c r="L420" t="s">
        <v>38</v>
      </c>
      <c r="N420" s="1" t="s">
        <f>IF(AND(ISNUMBER(U420),U420&gt;0,ISNUMBER(J420)),ROUND(J420/U420,2),"")</f>
        <v>39</v>
      </c>
      <c r="Q420" t="s">
        <v>40</v>
      </c>
      <c r="R420" t="s">
        <v>39</v>
      </c>
      <c r="S420">
        <v>648936</v>
      </c>
      <c r="T420">
        <v>648936</v>
      </c>
      <c r="X420" t="s">
        <v>41</v>
      </c>
      <c r="Z420" s="1">
        <v>11.2</v>
      </c>
      <c r="AA420" s="1">
        <f>IF(AND(ISNUMBER(Z420),ISNUMBER(I420),I420&gt;0,ISNUMBER(J420)),ROUND(Z420*J420/I420,2),"")</f>
        <v>12.1</v>
      </c>
      <c r="AB420" t="s">
        <v>42</v>
      </c>
      <c r="AC420" t="s">
        <v>43</v>
      </c>
      <c r="AD420" t="s">
        <v>48</v>
      </c>
      <c r="AE420" t="s">
        <v>45</v>
      </c>
    </row>
    <row r="421">
      <c r="A421">
        <v>805933</v>
      </c>
      <c r="B421">
        <v>805933</v>
      </c>
      <c r="C421" t="s">
        <v>771</v>
      </c>
      <c r="D421" t="s">
        <v>718</v>
      </c>
      <c r="E421" t="s">
        <v>96</v>
      </c>
      <c r="F421" s="1">
        <v>2</v>
      </c>
      <c r="G421" s="2">
        <v>0.4</v>
      </c>
      <c r="H421" s="2">
        <v>0.512</v>
      </c>
      <c r="I421" s="1">
        <v>2.8</v>
      </c>
      <c r="J421" s="1">
        <f>IF(AND(ISNUMBER(F421),ISNUMBER(H421)),ROUND(F421*(1+H421),2),"")</f>
        <v>3.02</v>
      </c>
      <c r="K421" s="2">
        <f>IF(AND(ISNUMBER(I421),I421&gt;0,ISNUMBER(J421)),J421/I421-1,"")</f>
        <v>0.07857142857142874</v>
      </c>
      <c r="L421" t="s">
        <v>38</v>
      </c>
      <c r="M421" s="1">
        <v>2.8</v>
      </c>
      <c r="N421" s="1">
        <f>IF(AND(ISNUMBER(U421),U421&gt;0,ISNUMBER(J421)),ROUND(J421/U421,2),"")</f>
        <v>3.02</v>
      </c>
      <c r="Q421" t="s">
        <v>40</v>
      </c>
      <c r="R421" t="s">
        <v>39</v>
      </c>
      <c r="S421">
        <v>526993</v>
      </c>
      <c r="T421">
        <v>526993</v>
      </c>
      <c r="U421" s="3">
        <v>1</v>
      </c>
      <c r="X421" t="s">
        <v>41</v>
      </c>
      <c r="Z421" s="1">
        <v>2.8</v>
      </c>
      <c r="AA421" s="1">
        <f>IF(AND(ISNUMBER(Z421),ISNUMBER(I421),I421&gt;0,ISNUMBER(J421)),ROUND(Z421*J421/I421,2),"")</f>
        <v>3.02</v>
      </c>
      <c r="AB421" t="s">
        <v>42</v>
      </c>
      <c r="AC421" t="s">
        <v>43</v>
      </c>
      <c r="AD421" t="s">
        <v>48</v>
      </c>
      <c r="AE421" t="s">
        <v>45</v>
      </c>
    </row>
    <row r="422">
      <c r="A422">
        <v>1011853</v>
      </c>
      <c r="B422">
        <v>1011853</v>
      </c>
      <c r="C422" t="s">
        <v>771</v>
      </c>
      <c r="D422" t="s">
        <v>718</v>
      </c>
      <c r="E422" t="s">
        <v>96</v>
      </c>
      <c r="F422" s="1">
        <v>2</v>
      </c>
      <c r="G422" s="2">
        <v>0.4</v>
      </c>
      <c r="H422" s="2">
        <v>0.512</v>
      </c>
      <c r="I422" s="1">
        <v>2.8</v>
      </c>
      <c r="J422" s="1">
        <f>IF(AND(ISNUMBER(F422),ISNUMBER(H422)),ROUND(F422*(1+H422),2),"")</f>
        <v>3.02</v>
      </c>
      <c r="K422" s="2">
        <f>IF(AND(ISNUMBER(I422),I422&gt;0,ISNUMBER(J422)),J422/I422-1,"")</f>
        <v>0.07857142857142874</v>
      </c>
      <c r="L422" t="s">
        <v>38</v>
      </c>
      <c r="N422" s="1" t="s">
        <f>IF(AND(ISNUMBER(U422),U422&gt;0,ISNUMBER(J422)),ROUND(J422/U422,2),"")</f>
        <v>39</v>
      </c>
      <c r="Q422" t="s">
        <v>40</v>
      </c>
      <c r="R422" t="s">
        <v>39</v>
      </c>
      <c r="S422">
        <v>794969</v>
      </c>
      <c r="T422">
        <v>794969</v>
      </c>
      <c r="X422" t="s">
        <v>41</v>
      </c>
      <c r="Z422" s="1">
        <v>2.8</v>
      </c>
      <c r="AA422" s="1">
        <f>IF(AND(ISNUMBER(Z422),ISNUMBER(I422),I422&gt;0,ISNUMBER(J422)),ROUND(Z422*J422/I422,2),"")</f>
        <v>3.02</v>
      </c>
      <c r="AB422" t="s">
        <v>42</v>
      </c>
      <c r="AC422" t="s">
        <v>43</v>
      </c>
      <c r="AD422" t="s">
        <v>48</v>
      </c>
      <c r="AE422" t="s">
        <v>45</v>
      </c>
    </row>
    <row r="423">
      <c r="A423">
        <v>805951</v>
      </c>
      <c r="B423">
        <v>805951</v>
      </c>
      <c r="C423" t="s">
        <v>772</v>
      </c>
      <c r="D423" t="s">
        <v>718</v>
      </c>
      <c r="E423" t="s">
        <v>96</v>
      </c>
      <c r="F423" s="1">
        <v>4.75</v>
      </c>
      <c r="G423" s="2">
        <v>0.4</v>
      </c>
      <c r="H423" s="2">
        <v>0.512</v>
      </c>
      <c r="I423" s="1">
        <v>6.65</v>
      </c>
      <c r="J423" s="1">
        <f>IF(AND(ISNUMBER(F423),ISNUMBER(H423)),ROUND(F423*(1+H423),2),"")</f>
        <v>7.18</v>
      </c>
      <c r="K423" s="2">
        <f>IF(AND(ISNUMBER(I423),I423&gt;0,ISNUMBER(J423)),J423/I423-1,"")</f>
        <v>0.07969924812030071</v>
      </c>
      <c r="L423" t="s">
        <v>38</v>
      </c>
      <c r="N423" s="1" t="s">
        <f>IF(AND(ISNUMBER(U423),U423&gt;0,ISNUMBER(J423)),ROUND(J423/U423,2),"")</f>
        <v>39</v>
      </c>
      <c r="Q423" t="s">
        <v>40</v>
      </c>
      <c r="R423" t="s">
        <v>39</v>
      </c>
      <c r="S423">
        <v>527011</v>
      </c>
      <c r="T423">
        <v>527011</v>
      </c>
      <c r="X423" t="s">
        <v>41</v>
      </c>
      <c r="Z423" s="1">
        <v>6.65</v>
      </c>
      <c r="AA423" s="1">
        <f>IF(AND(ISNUMBER(Z423),ISNUMBER(I423),I423&gt;0,ISNUMBER(J423)),ROUND(Z423*J423/I423,2),"")</f>
        <v>7.18</v>
      </c>
      <c r="AB423" t="s">
        <v>42</v>
      </c>
      <c r="AC423" t="s">
        <v>43</v>
      </c>
      <c r="AD423" t="s">
        <v>48</v>
      </c>
      <c r="AE423" t="s">
        <v>45</v>
      </c>
    </row>
    <row r="424">
      <c r="A424">
        <v>805955</v>
      </c>
      <c r="B424">
        <v>805955</v>
      </c>
      <c r="C424" t="s">
        <v>773</v>
      </c>
      <c r="D424" t="s">
        <v>718</v>
      </c>
      <c r="E424" t="s">
        <v>96</v>
      </c>
      <c r="F424" s="1">
        <v>2.75</v>
      </c>
      <c r="G424" s="2">
        <v>0.4</v>
      </c>
      <c r="H424" s="2">
        <v>0.512</v>
      </c>
      <c r="I424" s="1">
        <v>3.85</v>
      </c>
      <c r="J424" s="1">
        <f>IF(AND(ISNUMBER(F424),ISNUMBER(H424)),ROUND(F424*(1+H424),2),"")</f>
        <v>4.16</v>
      </c>
      <c r="K424" s="2">
        <f>IF(AND(ISNUMBER(I424),I424&gt;0,ISNUMBER(J424)),J424/I424-1,"")</f>
        <v>0.08051948051948044</v>
      </c>
      <c r="L424" t="s">
        <v>38</v>
      </c>
      <c r="N424" s="1" t="s">
        <f>IF(AND(ISNUMBER(U424),U424&gt;0,ISNUMBER(J424)),ROUND(J424/U424,2),"")</f>
        <v>39</v>
      </c>
      <c r="Q424" t="s">
        <v>40</v>
      </c>
      <c r="R424" t="s">
        <v>39</v>
      </c>
      <c r="S424">
        <v>527015</v>
      </c>
      <c r="T424">
        <v>527015</v>
      </c>
      <c r="X424" t="s">
        <v>41</v>
      </c>
      <c r="Z424" s="1">
        <v>3.85</v>
      </c>
      <c r="AA424" s="1">
        <f>IF(AND(ISNUMBER(Z424),ISNUMBER(I424),I424&gt;0,ISNUMBER(J424)),ROUND(Z424*J424/I424,2),"")</f>
        <v>4.16</v>
      </c>
      <c r="AB424" t="s">
        <v>42</v>
      </c>
      <c r="AC424" t="s">
        <v>43</v>
      </c>
      <c r="AD424" t="s">
        <v>48</v>
      </c>
      <c r="AE424" t="s">
        <v>45</v>
      </c>
    </row>
    <row r="425">
      <c r="A425">
        <v>805958</v>
      </c>
      <c r="B425">
        <v>805958</v>
      </c>
      <c r="C425" t="s">
        <v>141</v>
      </c>
      <c r="D425" t="s">
        <v>718</v>
      </c>
      <c r="E425" t="s">
        <v>96</v>
      </c>
      <c r="F425" s="1">
        <v>2.14</v>
      </c>
      <c r="G425" s="2">
        <v>0.4</v>
      </c>
      <c r="H425" s="2">
        <v>0.512</v>
      </c>
      <c r="I425" s="1">
        <v>3</v>
      </c>
      <c r="J425" s="1">
        <f>IF(AND(ISNUMBER(F425),ISNUMBER(H425)),ROUND(F425*(1+H425),2),"")</f>
        <v>3.24</v>
      </c>
      <c r="K425" s="2">
        <f>IF(AND(ISNUMBER(I425),I425&gt;0,ISNUMBER(J425)),J425/I425-1,"")</f>
        <v>0.08000000000000007</v>
      </c>
      <c r="L425" t="s">
        <v>38</v>
      </c>
      <c r="N425" s="1" t="s">
        <f>IF(AND(ISNUMBER(U425),U425&gt;0,ISNUMBER(J425)),ROUND(J425/U425,2),"")</f>
        <v>39</v>
      </c>
      <c r="Q425" t="s">
        <v>40</v>
      </c>
      <c r="R425" t="s">
        <v>39</v>
      </c>
      <c r="S425">
        <v>527019</v>
      </c>
      <c r="T425">
        <v>527019</v>
      </c>
      <c r="X425" t="s">
        <v>41</v>
      </c>
      <c r="Z425" s="1">
        <v>3</v>
      </c>
      <c r="AA425" s="1">
        <f>IF(AND(ISNUMBER(Z425),ISNUMBER(I425),I425&gt;0,ISNUMBER(J425)),ROUND(Z425*J425/I425,2),"")</f>
        <v>3.24</v>
      </c>
      <c r="AB425" t="s">
        <v>42</v>
      </c>
      <c r="AC425" t="s">
        <v>43</v>
      </c>
      <c r="AD425" t="s">
        <v>48</v>
      </c>
      <c r="AE425" t="s">
        <v>45</v>
      </c>
    </row>
    <row r="426">
      <c r="A426">
        <v>805965</v>
      </c>
      <c r="B426">
        <v>805965</v>
      </c>
      <c r="C426" t="s">
        <v>774</v>
      </c>
      <c r="D426" t="s">
        <v>718</v>
      </c>
      <c r="E426" t="s">
        <v>92</v>
      </c>
      <c r="F426" s="1">
        <v>2</v>
      </c>
      <c r="G426" s="2">
        <v>0.4</v>
      </c>
      <c r="H426" s="2">
        <v>0.512</v>
      </c>
      <c r="I426" s="1">
        <v>2.8</v>
      </c>
      <c r="J426" s="1">
        <f>IF(AND(ISNUMBER(F426),ISNUMBER(H426)),ROUND(F426*(1+H426),2),"")</f>
        <v>3.02</v>
      </c>
      <c r="K426" s="2">
        <f>IF(AND(ISNUMBER(I426),I426&gt;0,ISNUMBER(J426)),J426/I426-1,"")</f>
        <v>0.07857142857142874</v>
      </c>
      <c r="L426" t="s">
        <v>38</v>
      </c>
      <c r="M426" s="1">
        <v>2.8</v>
      </c>
      <c r="N426" s="1">
        <f>IF(AND(ISNUMBER(U426),U426&gt;0,ISNUMBER(J426)),ROUND(J426/U426,2),"")</f>
        <v>3.02</v>
      </c>
      <c r="Q426" t="s">
        <v>40</v>
      </c>
      <c r="R426" t="s">
        <v>39</v>
      </c>
      <c r="S426">
        <v>527025</v>
      </c>
      <c r="T426">
        <v>527025</v>
      </c>
      <c r="U426" s="3">
        <v>1</v>
      </c>
      <c r="X426" t="s">
        <v>41</v>
      </c>
      <c r="Z426" s="1">
        <v>2.8</v>
      </c>
      <c r="AA426" s="1">
        <f>IF(AND(ISNUMBER(Z426),ISNUMBER(I426),I426&gt;0,ISNUMBER(J426)),ROUND(Z426*J426/I426,2),"")</f>
        <v>3.02</v>
      </c>
      <c r="AB426" t="s">
        <v>42</v>
      </c>
      <c r="AC426" t="s">
        <v>43</v>
      </c>
      <c r="AD426" t="s">
        <v>48</v>
      </c>
      <c r="AE426" t="s">
        <v>45</v>
      </c>
    </row>
    <row r="427">
      <c r="A427">
        <v>805986</v>
      </c>
      <c r="B427">
        <v>805986</v>
      </c>
      <c r="C427" t="s">
        <v>775</v>
      </c>
      <c r="D427" t="s">
        <v>718</v>
      </c>
      <c r="E427" t="s">
        <v>100</v>
      </c>
      <c r="F427" s="1">
        <v>2.2</v>
      </c>
      <c r="G427" s="2">
        <v>0.4</v>
      </c>
      <c r="H427" s="2">
        <v>0.512</v>
      </c>
      <c r="I427" s="1">
        <v>3.08</v>
      </c>
      <c r="J427" s="1">
        <f>IF(AND(ISNUMBER(F427),ISNUMBER(H427)),ROUND(F427*(1+H427),2),"")</f>
        <v>3.33</v>
      </c>
      <c r="K427" s="2">
        <f>IF(AND(ISNUMBER(I427),I427&gt;0,ISNUMBER(J427)),J427/I427-1,"")</f>
        <v>0.08116883116883122</v>
      </c>
      <c r="L427" t="s">
        <v>776</v>
      </c>
      <c r="M427" s="1">
        <v>3.08</v>
      </c>
      <c r="N427" s="1">
        <f>IF(AND(ISNUMBER(U427),U427&gt;0,ISNUMBER(J427)),ROUND(J427/U427,2),"")</f>
        <v>3.33</v>
      </c>
      <c r="Q427" t="s">
        <v>40</v>
      </c>
      <c r="R427" t="s">
        <v>39</v>
      </c>
      <c r="S427">
        <v>527045</v>
      </c>
      <c r="T427">
        <v>527045</v>
      </c>
      <c r="U427" s="3">
        <v>1</v>
      </c>
      <c r="X427" t="s">
        <v>41</v>
      </c>
      <c r="Z427" s="1">
        <v>4.52</v>
      </c>
      <c r="AA427" s="1">
        <f>IF(AND(ISNUMBER(Z427),ISNUMBER(I427),I427&gt;0,ISNUMBER(J427)),ROUND(Z427*J427/I427,2),"")</f>
        <v>4.89</v>
      </c>
      <c r="AB427" t="s">
        <v>42</v>
      </c>
      <c r="AC427" t="s">
        <v>756</v>
      </c>
      <c r="AD427" t="s">
        <v>48</v>
      </c>
      <c r="AE427" t="s">
        <v>45</v>
      </c>
    </row>
    <row r="428">
      <c r="A428">
        <v>1128173</v>
      </c>
      <c r="B428">
        <v>1128173</v>
      </c>
      <c r="C428" t="s">
        <v>777</v>
      </c>
      <c r="D428" t="s">
        <v>718</v>
      </c>
      <c r="E428" t="s">
        <v>98</v>
      </c>
      <c r="F428" s="1">
        <v>2.25</v>
      </c>
      <c r="G428" s="2">
        <v>0.4</v>
      </c>
      <c r="H428" s="2">
        <v>0.512</v>
      </c>
      <c r="I428" s="1">
        <v>3.15</v>
      </c>
      <c r="J428" s="1">
        <f>IF(AND(ISNUMBER(F428),ISNUMBER(H428)),ROUND(F428*(1+H428),2),"")</f>
        <v>3.4</v>
      </c>
      <c r="K428" s="2">
        <f>IF(AND(ISNUMBER(I428),I428&gt;0,ISNUMBER(J428)),J428/I428-1,"")</f>
        <v>0.0793650793650793</v>
      </c>
      <c r="L428" t="s">
        <v>38</v>
      </c>
      <c r="N428" s="1" t="s">
        <f>IF(AND(ISNUMBER(U428),U428&gt;0,ISNUMBER(J428)),ROUND(J428/U428,2),"")</f>
        <v>39</v>
      </c>
      <c r="Q428" t="s">
        <v>40</v>
      </c>
      <c r="R428" t="s">
        <v>39</v>
      </c>
      <c r="S428">
        <v>961508</v>
      </c>
      <c r="T428">
        <v>961508</v>
      </c>
      <c r="X428" t="s">
        <v>41</v>
      </c>
      <c r="Z428" s="1">
        <v>3.15</v>
      </c>
      <c r="AA428" s="1">
        <f>IF(AND(ISNUMBER(Z428),ISNUMBER(I428),I428&gt;0,ISNUMBER(J428)),ROUND(Z428*J428/I428,2),"")</f>
        <v>3.4</v>
      </c>
      <c r="AB428" t="s">
        <v>42</v>
      </c>
      <c r="AC428" t="s">
        <v>134</v>
      </c>
      <c r="AD428" t="s">
        <v>48</v>
      </c>
      <c r="AE428" t="s">
        <v>45</v>
      </c>
    </row>
    <row r="429">
      <c r="A429">
        <v>910701</v>
      </c>
      <c r="B429">
        <v>910701</v>
      </c>
      <c r="C429" t="s">
        <v>778</v>
      </c>
      <c r="D429" t="s">
        <v>718</v>
      </c>
      <c r="E429" t="s">
        <v>96</v>
      </c>
      <c r="F429" s="1">
        <v>2.75</v>
      </c>
      <c r="G429" s="2">
        <v>0.5</v>
      </c>
      <c r="H429" s="2">
        <v>0.62</v>
      </c>
      <c r="I429" s="1">
        <v>4.13</v>
      </c>
      <c r="J429" s="1">
        <f>IF(AND(ISNUMBER(F429),ISNUMBER(H429)),ROUND(F429*(1+H429),2),"")</f>
        <v>4.46</v>
      </c>
      <c r="K429" s="2">
        <f>IF(AND(ISNUMBER(I429),I429&gt;0,ISNUMBER(J429)),J429/I429-1,"")</f>
        <v>0.07990314769975781</v>
      </c>
      <c r="L429" t="s">
        <v>38</v>
      </c>
      <c r="N429" s="1" t="s">
        <f>IF(AND(ISNUMBER(U429),U429&gt;0,ISNUMBER(J429)),ROUND(J429/U429,2),"")</f>
        <v>39</v>
      </c>
      <c r="Q429" t="s">
        <v>40</v>
      </c>
      <c r="R429" t="s">
        <v>39</v>
      </c>
      <c r="S429">
        <v>655777</v>
      </c>
      <c r="T429">
        <v>655777</v>
      </c>
      <c r="X429" t="s">
        <v>41</v>
      </c>
      <c r="Z429" s="1">
        <v>4.13</v>
      </c>
      <c r="AA429" s="1">
        <f>IF(AND(ISNUMBER(Z429),ISNUMBER(I429),I429&gt;0,ISNUMBER(J429)),ROUND(Z429*J429/I429,2),"")</f>
        <v>4.46</v>
      </c>
      <c r="AB429" t="s">
        <v>42</v>
      </c>
      <c r="AC429" t="s">
        <v>779</v>
      </c>
      <c r="AD429" t="s">
        <v>48</v>
      </c>
      <c r="AE429" t="s">
        <v>45</v>
      </c>
    </row>
    <row r="430">
      <c r="A430">
        <v>986027</v>
      </c>
      <c r="B430">
        <v>986027</v>
      </c>
      <c r="C430" t="s">
        <v>780</v>
      </c>
      <c r="D430" t="s">
        <v>718</v>
      </c>
      <c r="E430" t="s">
        <v>153</v>
      </c>
      <c r="F430" s="1">
        <v>3</v>
      </c>
      <c r="G430" s="2">
        <v>0.4</v>
      </c>
      <c r="H430" s="2">
        <v>0.512</v>
      </c>
      <c r="I430" s="1">
        <v>4.2</v>
      </c>
      <c r="J430" s="1">
        <f>IF(AND(ISNUMBER(F430),ISNUMBER(H430)),ROUND(F430*(1+H430),2),"")</f>
        <v>4.54</v>
      </c>
      <c r="K430" s="2">
        <f>IF(AND(ISNUMBER(I430),I430&gt;0,ISNUMBER(J430)),J430/I430-1,"")</f>
        <v>0.08095238095238089</v>
      </c>
      <c r="L430" t="s">
        <v>38</v>
      </c>
      <c r="M430" s="1">
        <v>8.4</v>
      </c>
      <c r="N430" s="1">
        <f>IF(AND(ISNUMBER(U430),U430&gt;0,ISNUMBER(J430)),ROUND(J430/U430,2),"")</f>
        <v>9.08</v>
      </c>
      <c r="Q430" t="s">
        <v>40</v>
      </c>
      <c r="R430" t="s">
        <v>39</v>
      </c>
      <c r="S430">
        <v>756207</v>
      </c>
      <c r="T430">
        <v>756207</v>
      </c>
      <c r="U430" s="3">
        <v>0.5</v>
      </c>
      <c r="X430" t="s">
        <v>41</v>
      </c>
      <c r="Z430" s="1">
        <v>4.2</v>
      </c>
      <c r="AA430" s="1">
        <f>IF(AND(ISNUMBER(Z430),ISNUMBER(I430),I430&gt;0,ISNUMBER(J430)),ROUND(Z430*J430/I430,2),"")</f>
        <v>4.54</v>
      </c>
      <c r="AB430" t="s">
        <v>42</v>
      </c>
      <c r="AC430" t="s">
        <v>43</v>
      </c>
      <c r="AD430" t="s">
        <v>48</v>
      </c>
      <c r="AE430" t="s">
        <v>45</v>
      </c>
    </row>
    <row r="431">
      <c r="A431">
        <v>896390</v>
      </c>
      <c r="B431">
        <v>896390</v>
      </c>
      <c r="C431" t="s">
        <v>780</v>
      </c>
      <c r="D431" t="s">
        <v>718</v>
      </c>
      <c r="E431" t="s">
        <v>781</v>
      </c>
      <c r="F431" s="1">
        <v>2.25</v>
      </c>
      <c r="G431" s="2">
        <v>0.4</v>
      </c>
      <c r="H431" s="2">
        <v>0.512</v>
      </c>
      <c r="I431" s="1">
        <v>3.15</v>
      </c>
      <c r="J431" s="1">
        <f>IF(AND(ISNUMBER(F431),ISNUMBER(H431)),ROUND(F431*(1+H431),2),"")</f>
        <v>3.4</v>
      </c>
      <c r="K431" s="2">
        <f>IF(AND(ISNUMBER(I431),I431&gt;0,ISNUMBER(J431)),J431/I431-1,"")</f>
        <v>0.0793650793650793</v>
      </c>
      <c r="L431" t="s">
        <v>38</v>
      </c>
      <c r="N431" s="1" t="s">
        <f>IF(AND(ISNUMBER(U431),U431&gt;0,ISNUMBER(J431)),ROUND(J431/U431,2),"")</f>
        <v>39</v>
      </c>
      <c r="Q431" t="s">
        <v>40</v>
      </c>
      <c r="R431" t="s">
        <v>39</v>
      </c>
      <c r="S431">
        <v>637202</v>
      </c>
      <c r="T431">
        <v>637202</v>
      </c>
      <c r="X431" t="s">
        <v>41</v>
      </c>
      <c r="Z431" s="1">
        <v>3.15</v>
      </c>
      <c r="AA431" s="1">
        <f>IF(AND(ISNUMBER(Z431),ISNUMBER(I431),I431&gt;0,ISNUMBER(J431)),ROUND(Z431*J431/I431,2),"")</f>
        <v>3.4</v>
      </c>
      <c r="AB431" t="s">
        <v>42</v>
      </c>
      <c r="AC431" t="s">
        <v>43</v>
      </c>
      <c r="AD431" t="s">
        <v>48</v>
      </c>
      <c r="AE431" t="s">
        <v>45</v>
      </c>
    </row>
    <row r="432">
      <c r="A432">
        <v>805999</v>
      </c>
      <c r="B432">
        <v>805999</v>
      </c>
      <c r="C432" t="s">
        <v>782</v>
      </c>
      <c r="D432" t="s">
        <v>718</v>
      </c>
      <c r="E432" t="s">
        <v>96</v>
      </c>
      <c r="F432" s="1">
        <v>2</v>
      </c>
      <c r="G432" s="2">
        <v>0.4</v>
      </c>
      <c r="H432" s="2">
        <v>0.512</v>
      </c>
      <c r="I432" s="1">
        <v>2.8</v>
      </c>
      <c r="J432" s="1">
        <f>IF(AND(ISNUMBER(F432),ISNUMBER(H432)),ROUND(F432*(1+H432),2),"")</f>
        <v>3.02</v>
      </c>
      <c r="K432" s="2">
        <f>IF(AND(ISNUMBER(I432),I432&gt;0,ISNUMBER(J432)),J432/I432-1,"")</f>
        <v>0.07857142857142874</v>
      </c>
      <c r="L432" t="s">
        <v>38</v>
      </c>
      <c r="N432" s="1" t="s">
        <f>IF(AND(ISNUMBER(U432),U432&gt;0,ISNUMBER(J432)),ROUND(J432/U432,2),"")</f>
        <v>39</v>
      </c>
      <c r="Q432" t="s">
        <v>40</v>
      </c>
      <c r="R432" t="s">
        <v>39</v>
      </c>
      <c r="S432">
        <v>527059</v>
      </c>
      <c r="T432">
        <v>527059</v>
      </c>
      <c r="X432" t="s">
        <v>41</v>
      </c>
      <c r="Z432" s="1">
        <v>2.8</v>
      </c>
      <c r="AA432" s="1">
        <f>IF(AND(ISNUMBER(Z432),ISNUMBER(I432),I432&gt;0,ISNUMBER(J432)),ROUND(Z432*J432/I432,2),"")</f>
        <v>3.02</v>
      </c>
      <c r="AB432" t="s">
        <v>42</v>
      </c>
      <c r="AC432" t="s">
        <v>43</v>
      </c>
      <c r="AD432" t="s">
        <v>48</v>
      </c>
      <c r="AE432" t="s">
        <v>45</v>
      </c>
    </row>
    <row r="433">
      <c r="A433">
        <v>812624</v>
      </c>
      <c r="B433">
        <v>812624</v>
      </c>
      <c r="C433" t="s">
        <v>783</v>
      </c>
      <c r="D433" t="s">
        <v>718</v>
      </c>
      <c r="E433" t="s">
        <v>113</v>
      </c>
      <c r="F433" s="1">
        <v>3.75</v>
      </c>
      <c r="G433" s="2">
        <v>0.4</v>
      </c>
      <c r="H433" s="2">
        <v>0.512</v>
      </c>
      <c r="I433" s="1">
        <v>5.25</v>
      </c>
      <c r="J433" s="1">
        <f>IF(AND(ISNUMBER(F433),ISNUMBER(H433)),ROUND(F433*(1+H433),2),"")</f>
        <v>5.67</v>
      </c>
      <c r="K433" s="2">
        <f>IF(AND(ISNUMBER(I433),I433&gt;0,ISNUMBER(J433)),J433/I433-1,"")</f>
        <v>0.08000000000000007</v>
      </c>
      <c r="L433" t="s">
        <v>38</v>
      </c>
      <c r="M433" s="1">
        <v>5.25</v>
      </c>
      <c r="N433" s="1">
        <f>IF(AND(ISNUMBER(U433),U433&gt;0,ISNUMBER(J433)),ROUND(J433/U433,2),"")</f>
        <v>5.67</v>
      </c>
      <c r="Q433" t="s">
        <v>40</v>
      </c>
      <c r="R433" t="s">
        <v>39</v>
      </c>
      <c r="S433">
        <v>534492</v>
      </c>
      <c r="T433">
        <v>534492</v>
      </c>
      <c r="U433" s="3">
        <v>1</v>
      </c>
      <c r="X433" t="s">
        <v>41</v>
      </c>
      <c r="Z433" s="1">
        <v>5.25</v>
      </c>
      <c r="AA433" s="1">
        <f>IF(AND(ISNUMBER(Z433),ISNUMBER(I433),I433&gt;0,ISNUMBER(J433)),ROUND(Z433*J433/I433,2),"")</f>
        <v>5.67</v>
      </c>
      <c r="AB433" t="s">
        <v>42</v>
      </c>
      <c r="AC433" t="s">
        <v>43</v>
      </c>
      <c r="AD433" t="s">
        <v>48</v>
      </c>
      <c r="AE433" t="s">
        <v>45</v>
      </c>
    </row>
    <row r="434">
      <c r="A434">
        <v>805814</v>
      </c>
      <c r="B434">
        <v>805814</v>
      </c>
      <c r="C434" t="s">
        <v>784</v>
      </c>
      <c r="D434" t="s">
        <v>718</v>
      </c>
      <c r="E434" t="s">
        <v>100</v>
      </c>
      <c r="F434" s="1">
        <v>4.25</v>
      </c>
      <c r="G434" s="2">
        <v>0.4</v>
      </c>
      <c r="H434" s="2">
        <v>0.512</v>
      </c>
      <c r="I434" s="1">
        <v>5.95</v>
      </c>
      <c r="J434" s="1">
        <f>IF(AND(ISNUMBER(F434),ISNUMBER(H434)),ROUND(F434*(1+H434),2),"")</f>
        <v>6.43</v>
      </c>
      <c r="K434" s="2">
        <f>IF(AND(ISNUMBER(I434),I434&gt;0,ISNUMBER(J434)),J434/I434-1,"")</f>
        <v>0.08067226890756296</v>
      </c>
      <c r="L434" t="s">
        <v>38</v>
      </c>
      <c r="M434" s="1">
        <v>5.95</v>
      </c>
      <c r="N434" s="1">
        <f>IF(AND(ISNUMBER(U434),U434&gt;0,ISNUMBER(J434)),ROUND(J434/U434,2),"")</f>
        <v>6.43</v>
      </c>
      <c r="Q434" t="s">
        <v>40</v>
      </c>
      <c r="R434" t="s">
        <v>39</v>
      </c>
      <c r="S434">
        <v>526871</v>
      </c>
      <c r="T434">
        <v>526871</v>
      </c>
      <c r="U434" s="3">
        <v>1</v>
      </c>
      <c r="X434" t="s">
        <v>41</v>
      </c>
      <c r="Z434" s="1">
        <v>5.95</v>
      </c>
      <c r="AA434" s="1">
        <f>IF(AND(ISNUMBER(Z434),ISNUMBER(I434),I434&gt;0,ISNUMBER(J434)),ROUND(Z434*J434/I434,2),"")</f>
        <v>6.43</v>
      </c>
      <c r="AB434" t="s">
        <v>42</v>
      </c>
      <c r="AC434" t="s">
        <v>43</v>
      </c>
      <c r="AD434" t="s">
        <v>48</v>
      </c>
      <c r="AE434" t="s">
        <v>45</v>
      </c>
    </row>
    <row r="435">
      <c r="A435">
        <v>1128174</v>
      </c>
      <c r="B435">
        <v>1128174</v>
      </c>
      <c r="C435" t="s">
        <v>785</v>
      </c>
      <c r="D435" t="s">
        <v>718</v>
      </c>
      <c r="E435" t="s">
        <v>719</v>
      </c>
      <c r="F435" s="1">
        <v>4.3</v>
      </c>
      <c r="G435" s="2">
        <v>0.4</v>
      </c>
      <c r="H435" s="2">
        <v>0.512</v>
      </c>
      <c r="I435" s="1">
        <v>6.02</v>
      </c>
      <c r="J435" s="1">
        <f>IF(AND(ISNUMBER(F435),ISNUMBER(H435)),ROUND(F435*(1+H435),2),"")</f>
        <v>6.5</v>
      </c>
      <c r="K435" s="2">
        <f>IF(AND(ISNUMBER(I435),I435&gt;0,ISNUMBER(J435)),J435/I435-1,"")</f>
        <v>0.07973421926910307</v>
      </c>
      <c r="L435" t="s">
        <v>38</v>
      </c>
      <c r="N435" s="1" t="s">
        <f>IF(AND(ISNUMBER(U435),U435&gt;0,ISNUMBER(J435)),ROUND(J435/U435,2),"")</f>
        <v>39</v>
      </c>
      <c r="Q435" t="s">
        <v>40</v>
      </c>
      <c r="R435" t="s">
        <v>39</v>
      </c>
      <c r="S435">
        <v>961510</v>
      </c>
      <c r="T435">
        <v>961510</v>
      </c>
      <c r="X435" t="s">
        <v>41</v>
      </c>
      <c r="Z435" s="1">
        <v>6.02</v>
      </c>
      <c r="AA435" s="1">
        <f>IF(AND(ISNUMBER(Z435),ISNUMBER(I435),I435&gt;0,ISNUMBER(J435)),ROUND(Z435*J435/I435,2),"")</f>
        <v>6.5</v>
      </c>
      <c r="AB435" t="s">
        <v>42</v>
      </c>
      <c r="AC435" t="s">
        <v>43</v>
      </c>
      <c r="AD435" t="s">
        <v>48</v>
      </c>
      <c r="AE435" t="s">
        <v>45</v>
      </c>
    </row>
    <row r="436">
      <c r="A436">
        <v>995638</v>
      </c>
      <c r="B436">
        <v>995638</v>
      </c>
      <c r="C436" t="s">
        <v>786</v>
      </c>
      <c r="D436" t="s">
        <v>718</v>
      </c>
      <c r="E436" t="s">
        <v>113</v>
      </c>
      <c r="F436" s="1">
        <v>0</v>
      </c>
      <c r="I436" s="1">
        <v>0</v>
      </c>
      <c r="J436" s="1" t="s">
        <f>IF(AND(ISNUMBER(F436),ISNUMBER(H436)),ROUND(F436*(1+H436),2),"")</f>
        <v>39</v>
      </c>
      <c r="K436" s="2" t="s">
        <f>IF(AND(ISNUMBER(I436),I436&gt;0,ISNUMBER(J436)),J436/I436-1,"")</f>
        <v>39</v>
      </c>
      <c r="L436" t="s">
        <v>38</v>
      </c>
      <c r="N436" s="1" t="s">
        <f>IF(AND(ISNUMBER(U436),U436&gt;0,ISNUMBER(J436)),ROUND(J436/U436,2),"")</f>
        <v>39</v>
      </c>
      <c r="Q436" t="s">
        <v>166</v>
      </c>
      <c r="R436" t="s">
        <v>39</v>
      </c>
      <c r="S436">
        <v>770066</v>
      </c>
      <c r="T436">
        <v>770066</v>
      </c>
      <c r="X436" t="s">
        <v>41</v>
      </c>
      <c r="Z436" s="1">
        <v>0</v>
      </c>
      <c r="AA436" s="1" t="s">
        <f>IF(AND(ISNUMBER(Z436),ISNUMBER(I436),I436&gt;0,ISNUMBER(J436)),ROUND(Z436*J436/I436,2),"")</f>
        <v>39</v>
      </c>
      <c r="AB436" t="s">
        <v>167</v>
      </c>
      <c r="AC436" t="s">
        <v>660</v>
      </c>
      <c r="AD436" t="s">
        <v>48</v>
      </c>
      <c r="AE436" t="s">
        <v>45</v>
      </c>
    </row>
    <row r="437">
      <c r="A437">
        <v>997517</v>
      </c>
      <c r="B437">
        <v>997517</v>
      </c>
      <c r="C437" t="s">
        <v>787</v>
      </c>
      <c r="D437" t="s">
        <v>718</v>
      </c>
      <c r="E437" t="s">
        <v>98</v>
      </c>
      <c r="F437" s="1">
        <v>3</v>
      </c>
      <c r="G437" s="2">
        <v>0.4</v>
      </c>
      <c r="H437" s="2">
        <v>0.512</v>
      </c>
      <c r="I437" s="1">
        <v>4.2</v>
      </c>
      <c r="J437" s="1">
        <f>IF(AND(ISNUMBER(F437),ISNUMBER(H437)),ROUND(F437*(1+H437),2),"")</f>
        <v>4.54</v>
      </c>
      <c r="K437" s="2">
        <f>IF(AND(ISNUMBER(I437),I437&gt;0,ISNUMBER(J437)),J437/I437-1,"")</f>
        <v>0.08095238095238089</v>
      </c>
      <c r="L437" t="s">
        <v>38</v>
      </c>
      <c r="N437" s="1" t="s">
        <f>IF(AND(ISNUMBER(U437),U437&gt;0,ISNUMBER(J437)),ROUND(J437/U437,2),"")</f>
        <v>39</v>
      </c>
      <c r="Q437" t="s">
        <v>40</v>
      </c>
      <c r="R437" t="s">
        <v>39</v>
      </c>
      <c r="S437">
        <v>772950</v>
      </c>
      <c r="T437">
        <v>772950</v>
      </c>
      <c r="X437" t="s">
        <v>41</v>
      </c>
      <c r="Z437" s="1">
        <v>4.2</v>
      </c>
      <c r="AA437" s="1">
        <f>IF(AND(ISNUMBER(Z437),ISNUMBER(I437),I437&gt;0,ISNUMBER(J437)),ROUND(Z437*J437/I437,2),"")</f>
        <v>4.54</v>
      </c>
      <c r="AB437" t="s">
        <v>42</v>
      </c>
      <c r="AC437" t="s">
        <v>43</v>
      </c>
      <c r="AD437" t="s">
        <v>48</v>
      </c>
      <c r="AE437" t="s">
        <v>45</v>
      </c>
    </row>
    <row r="438">
      <c r="A438">
        <v>805841</v>
      </c>
      <c r="B438">
        <v>805841</v>
      </c>
      <c r="C438" t="s">
        <v>788</v>
      </c>
      <c r="D438" t="s">
        <v>718</v>
      </c>
      <c r="E438" t="s">
        <v>100</v>
      </c>
      <c r="F438" s="1">
        <v>2</v>
      </c>
      <c r="G438" s="2">
        <v>0.4</v>
      </c>
      <c r="H438" s="2">
        <v>0.512</v>
      </c>
      <c r="I438" s="1">
        <v>2.8</v>
      </c>
      <c r="J438" s="1">
        <f>IF(AND(ISNUMBER(F438),ISNUMBER(H438)),ROUND(F438*(1+H438),2),"")</f>
        <v>3.02</v>
      </c>
      <c r="K438" s="2">
        <f>IF(AND(ISNUMBER(I438),I438&gt;0,ISNUMBER(J438)),J438/I438-1,"")</f>
        <v>0.07857142857142874</v>
      </c>
      <c r="L438" t="s">
        <v>38</v>
      </c>
      <c r="M438" s="1">
        <v>2.8</v>
      </c>
      <c r="N438" s="1">
        <f>IF(AND(ISNUMBER(U438),U438&gt;0,ISNUMBER(J438)),ROUND(J438/U438,2),"")</f>
        <v>3.02</v>
      </c>
      <c r="Q438" t="s">
        <v>40</v>
      </c>
      <c r="R438" t="s">
        <v>39</v>
      </c>
      <c r="S438">
        <v>526899</v>
      </c>
      <c r="T438">
        <v>526899</v>
      </c>
      <c r="U438" s="3">
        <v>1</v>
      </c>
      <c r="X438" t="s">
        <v>41</v>
      </c>
      <c r="Z438" s="1">
        <v>2.8</v>
      </c>
      <c r="AA438" s="1">
        <f>IF(AND(ISNUMBER(Z438),ISNUMBER(I438),I438&gt;0,ISNUMBER(J438)),ROUND(Z438*J438/I438,2),"")</f>
        <v>3.02</v>
      </c>
      <c r="AB438" t="s">
        <v>42</v>
      </c>
      <c r="AC438" t="s">
        <v>43</v>
      </c>
      <c r="AD438" t="s">
        <v>48</v>
      </c>
      <c r="AE438" t="s">
        <v>45</v>
      </c>
    </row>
    <row r="439">
      <c r="A439">
        <v>995639</v>
      </c>
      <c r="B439">
        <v>995639</v>
      </c>
      <c r="C439" t="s">
        <v>789</v>
      </c>
      <c r="D439" t="s">
        <v>718</v>
      </c>
      <c r="E439" t="s">
        <v>63</v>
      </c>
      <c r="F439" s="1">
        <v>6.75</v>
      </c>
      <c r="G439" s="2">
        <v>0.4</v>
      </c>
      <c r="H439" s="2">
        <v>0.512</v>
      </c>
      <c r="I439" s="1">
        <v>9.45</v>
      </c>
      <c r="J439" s="1">
        <f>IF(AND(ISNUMBER(F439),ISNUMBER(H439)),ROUND(F439*(1+H439),2),"")</f>
        <v>10.21</v>
      </c>
      <c r="K439" s="2">
        <f>IF(AND(ISNUMBER(I439),I439&gt;0,ISNUMBER(J439)),J439/I439-1,"")</f>
        <v>0.08042328042328051</v>
      </c>
      <c r="L439" t="s">
        <v>38</v>
      </c>
      <c r="N439" s="1" t="s">
        <f>IF(AND(ISNUMBER(U439),U439&gt;0,ISNUMBER(J439)),ROUND(J439/U439,2),"")</f>
        <v>39</v>
      </c>
      <c r="Q439" t="s">
        <v>40</v>
      </c>
      <c r="R439" t="s">
        <v>39</v>
      </c>
      <c r="S439">
        <v>770067</v>
      </c>
      <c r="T439">
        <v>770067</v>
      </c>
      <c r="X439" t="s">
        <v>41</v>
      </c>
      <c r="Z439" s="1">
        <v>9.45</v>
      </c>
      <c r="AA439" s="1">
        <f>IF(AND(ISNUMBER(Z439),ISNUMBER(I439),I439&gt;0,ISNUMBER(J439)),ROUND(Z439*J439/I439,2),"")</f>
        <v>10.21</v>
      </c>
      <c r="AB439" t="s">
        <v>42</v>
      </c>
      <c r="AC439" t="s">
        <v>43</v>
      </c>
      <c r="AD439" t="s">
        <v>48</v>
      </c>
      <c r="AE439" t="s">
        <v>45</v>
      </c>
    </row>
    <row r="440">
      <c r="A440">
        <v>1004525</v>
      </c>
      <c r="B440">
        <v>1004525</v>
      </c>
      <c r="C440" t="s">
        <v>790</v>
      </c>
      <c r="D440" t="s">
        <v>718</v>
      </c>
      <c r="E440" t="s">
        <v>98</v>
      </c>
      <c r="F440" s="1">
        <v>4</v>
      </c>
      <c r="G440" s="2">
        <v>0.4</v>
      </c>
      <c r="H440" s="2">
        <v>0.512</v>
      </c>
      <c r="I440" s="1">
        <v>5.6</v>
      </c>
      <c r="J440" s="1">
        <f>IF(AND(ISNUMBER(F440),ISNUMBER(H440)),ROUND(F440*(1+H440),2),"")</f>
        <v>6.05</v>
      </c>
      <c r="K440" s="2">
        <f>IF(AND(ISNUMBER(I440),I440&gt;0,ISNUMBER(J440)),J440/I440-1,"")</f>
        <v>0.0803571428571428</v>
      </c>
      <c r="L440" t="s">
        <v>38</v>
      </c>
      <c r="N440" s="1" t="s">
        <f>IF(AND(ISNUMBER(U440),U440&gt;0,ISNUMBER(J440)),ROUND(J440/U440,2),"")</f>
        <v>39</v>
      </c>
      <c r="Q440" t="s">
        <v>40</v>
      </c>
      <c r="R440" t="s">
        <v>39</v>
      </c>
      <c r="S440">
        <v>784561</v>
      </c>
      <c r="T440">
        <v>784561</v>
      </c>
      <c r="X440" t="s">
        <v>41</v>
      </c>
      <c r="Z440" s="1">
        <v>5.6</v>
      </c>
      <c r="AA440" s="1">
        <f>IF(AND(ISNUMBER(Z440),ISNUMBER(I440),I440&gt;0,ISNUMBER(J440)),ROUND(Z440*J440/I440,2),"")</f>
        <v>6.05</v>
      </c>
      <c r="AB440" t="s">
        <v>42</v>
      </c>
      <c r="AC440" t="s">
        <v>43</v>
      </c>
      <c r="AD440" t="s">
        <v>48</v>
      </c>
      <c r="AE440" t="s">
        <v>45</v>
      </c>
    </row>
    <row r="441">
      <c r="A441">
        <v>805730</v>
      </c>
      <c r="B441">
        <v>805730</v>
      </c>
      <c r="C441" t="s">
        <v>791</v>
      </c>
      <c r="D441" t="s">
        <v>792</v>
      </c>
      <c r="E441" t="s">
        <v>96</v>
      </c>
      <c r="F441" s="1">
        <v>41.95</v>
      </c>
      <c r="G441" s="2">
        <v>0.4</v>
      </c>
      <c r="H441" s="2">
        <v>0.512</v>
      </c>
      <c r="I441" s="1">
        <v>58.73</v>
      </c>
      <c r="J441" s="1">
        <f>IF(AND(ISNUMBER(F441),ISNUMBER(H441)),ROUND(F441*(1+H441),2),"")</f>
        <v>63.43</v>
      </c>
      <c r="K441" s="2">
        <f>IF(AND(ISNUMBER(I441),I441&gt;0,ISNUMBER(J441)),J441/I441-1,"")</f>
        <v>0.08002724331687383</v>
      </c>
      <c r="L441" t="s">
        <v>38</v>
      </c>
      <c r="N441" s="1" t="s">
        <f>IF(AND(ISNUMBER(U441),U441&gt;0,ISNUMBER(J441)),ROUND(J441/U441,2),"")</f>
        <v>39</v>
      </c>
      <c r="Q441" t="s">
        <v>40</v>
      </c>
      <c r="R441" t="s">
        <v>39</v>
      </c>
      <c r="S441">
        <v>526785</v>
      </c>
      <c r="T441">
        <v>526785</v>
      </c>
      <c r="X441" t="s">
        <v>41</v>
      </c>
      <c r="Z441" s="1">
        <v>58.73</v>
      </c>
      <c r="AA441" s="1">
        <f>IF(AND(ISNUMBER(Z441),ISNUMBER(I441),I441&gt;0,ISNUMBER(J441)),ROUND(Z441*J441/I441,2),"")</f>
        <v>63.43</v>
      </c>
      <c r="AB441" t="s">
        <v>42</v>
      </c>
      <c r="AC441" t="s">
        <v>43</v>
      </c>
      <c r="AD441" t="s">
        <v>44</v>
      </c>
      <c r="AE441" t="s">
        <v>45</v>
      </c>
    </row>
    <row r="442">
      <c r="A442">
        <v>805731</v>
      </c>
      <c r="B442">
        <v>805731</v>
      </c>
      <c r="C442" t="s">
        <v>793</v>
      </c>
      <c r="D442" t="s">
        <v>792</v>
      </c>
      <c r="E442" t="s">
        <v>96</v>
      </c>
      <c r="F442" s="1">
        <v>110.5</v>
      </c>
      <c r="G442" s="2">
        <v>0.3</v>
      </c>
      <c r="H442" s="2">
        <v>0.404</v>
      </c>
      <c r="I442" s="1">
        <v>143.65</v>
      </c>
      <c r="J442" s="1">
        <f>IF(AND(ISNUMBER(F442),ISNUMBER(H442)),ROUND(F442*(1+H442),2),"")</f>
        <v>155.14</v>
      </c>
      <c r="K442" s="2">
        <f>IF(AND(ISNUMBER(I442),I442&gt;0,ISNUMBER(J442)),J442/I442-1,"")</f>
        <v>0.07998607727114493</v>
      </c>
      <c r="L442" t="s">
        <v>38</v>
      </c>
      <c r="N442" s="1" t="s">
        <f>IF(AND(ISNUMBER(U442),U442&gt;0,ISNUMBER(J442)),ROUND(J442/U442,2),"")</f>
        <v>39</v>
      </c>
      <c r="Q442" t="s">
        <v>40</v>
      </c>
      <c r="R442" t="s">
        <v>39</v>
      </c>
      <c r="S442">
        <v>526786</v>
      </c>
      <c r="T442">
        <v>526786</v>
      </c>
      <c r="X442" t="s">
        <v>41</v>
      </c>
      <c r="Z442" s="1">
        <v>143.65</v>
      </c>
      <c r="AA442" s="1">
        <f>IF(AND(ISNUMBER(Z442),ISNUMBER(I442),I442&gt;0,ISNUMBER(J442)),ROUND(Z442*J442/I442,2),"")</f>
        <v>155.14</v>
      </c>
      <c r="AB442" t="s">
        <v>42</v>
      </c>
      <c r="AC442" t="s">
        <v>794</v>
      </c>
      <c r="AD442" t="s">
        <v>44</v>
      </c>
      <c r="AE442" t="s">
        <v>45</v>
      </c>
    </row>
    <row r="443">
      <c r="A443">
        <v>1108430</v>
      </c>
      <c r="B443">
        <v>1108430</v>
      </c>
      <c r="C443" t="s">
        <v>795</v>
      </c>
      <c r="D443" t="s">
        <v>796</v>
      </c>
      <c r="E443" t="s">
        <v>732</v>
      </c>
      <c r="F443" s="1">
        <v>2.25</v>
      </c>
      <c r="G443" s="2">
        <v>0.4</v>
      </c>
      <c r="H443" s="2">
        <v>0.512</v>
      </c>
      <c r="I443" s="1">
        <v>3.15</v>
      </c>
      <c r="J443" s="1">
        <f>IF(AND(ISNUMBER(F443),ISNUMBER(H443)),ROUND(F443*(1+H443),2),"")</f>
        <v>3.4</v>
      </c>
      <c r="K443" s="2">
        <f>IF(AND(ISNUMBER(I443),I443&gt;0,ISNUMBER(J443)),J443/I443-1,"")</f>
        <v>0.0793650793650793</v>
      </c>
      <c r="L443" t="s">
        <v>38</v>
      </c>
      <c r="N443" s="1" t="s">
        <f>IF(AND(ISNUMBER(U443),U443&gt;0,ISNUMBER(J443)),ROUND(J443/U443,2),"")</f>
        <v>39</v>
      </c>
      <c r="Q443" t="s">
        <v>40</v>
      </c>
      <c r="R443" t="s">
        <v>39</v>
      </c>
      <c r="S443">
        <v>927191</v>
      </c>
      <c r="T443">
        <v>927191</v>
      </c>
      <c r="X443" t="s">
        <v>41</v>
      </c>
      <c r="Z443" s="1">
        <v>3.15</v>
      </c>
      <c r="AA443" s="1">
        <f>IF(AND(ISNUMBER(Z443),ISNUMBER(I443),I443&gt;0,ISNUMBER(J443)),ROUND(Z443*J443/I443,2),"")</f>
        <v>3.4</v>
      </c>
      <c r="AB443" t="s">
        <v>42</v>
      </c>
      <c r="AC443" t="s">
        <v>43</v>
      </c>
      <c r="AD443" t="s">
        <v>48</v>
      </c>
      <c r="AE443" t="s">
        <v>45</v>
      </c>
    </row>
    <row r="444">
      <c r="A444">
        <v>883820</v>
      </c>
      <c r="B444">
        <v>883820</v>
      </c>
      <c r="C444" t="s">
        <v>797</v>
      </c>
      <c r="D444" t="s">
        <v>796</v>
      </c>
      <c r="E444" t="s">
        <v>798</v>
      </c>
      <c r="F444" s="1">
        <v>2.25</v>
      </c>
      <c r="G444" s="2">
        <v>0.4</v>
      </c>
      <c r="H444" s="2">
        <v>0.512</v>
      </c>
      <c r="I444" s="1">
        <v>3.15</v>
      </c>
      <c r="J444" s="1">
        <f>IF(AND(ISNUMBER(F444),ISNUMBER(H444)),ROUND(F444*(1+H444),2),"")</f>
        <v>3.4</v>
      </c>
      <c r="K444" s="2">
        <f>IF(AND(ISNUMBER(I444),I444&gt;0,ISNUMBER(J444)),J444/I444-1,"")</f>
        <v>0.0793650793650793</v>
      </c>
      <c r="L444" t="s">
        <v>38</v>
      </c>
      <c r="N444" s="1" t="s">
        <f>IF(AND(ISNUMBER(U444),U444&gt;0,ISNUMBER(J444)),ROUND(J444/U444,2),"")</f>
        <v>39</v>
      </c>
      <c r="Q444" t="s">
        <v>40</v>
      </c>
      <c r="R444" t="s">
        <v>39</v>
      </c>
      <c r="S444">
        <v>621072</v>
      </c>
      <c r="T444">
        <v>621072</v>
      </c>
      <c r="X444" t="s">
        <v>41</v>
      </c>
      <c r="Z444" s="1">
        <v>3.15</v>
      </c>
      <c r="AA444" s="1">
        <f>IF(AND(ISNUMBER(Z444),ISNUMBER(I444),I444&gt;0,ISNUMBER(J444)),ROUND(Z444*J444/I444,2),"")</f>
        <v>3.4</v>
      </c>
      <c r="AB444" t="s">
        <v>42</v>
      </c>
      <c r="AC444" t="s">
        <v>43</v>
      </c>
      <c r="AD444" t="s">
        <v>48</v>
      </c>
      <c r="AE444" t="s">
        <v>45</v>
      </c>
    </row>
    <row r="445">
      <c r="A445">
        <v>812659</v>
      </c>
      <c r="B445">
        <v>812659</v>
      </c>
      <c r="C445" t="s">
        <v>107</v>
      </c>
      <c r="D445" t="s">
        <v>796</v>
      </c>
      <c r="E445" t="s">
        <v>98</v>
      </c>
      <c r="F445" s="1">
        <v>2</v>
      </c>
      <c r="G445" s="2">
        <v>0.4</v>
      </c>
      <c r="H445" s="2">
        <v>0.512</v>
      </c>
      <c r="I445" s="1">
        <v>2.8</v>
      </c>
      <c r="J445" s="1">
        <f>IF(AND(ISNUMBER(F445),ISNUMBER(H445)),ROUND(F445*(1+H445),2),"")</f>
        <v>3.02</v>
      </c>
      <c r="K445" s="2">
        <f>IF(AND(ISNUMBER(I445),I445&gt;0,ISNUMBER(J445)),J445/I445-1,"")</f>
        <v>0.07857142857142874</v>
      </c>
      <c r="L445" t="s">
        <v>38</v>
      </c>
      <c r="N445" s="1" t="s">
        <f>IF(AND(ISNUMBER(U445),U445&gt;0,ISNUMBER(J445)),ROUND(J445/U445,2),"")</f>
        <v>39</v>
      </c>
      <c r="Q445" t="s">
        <v>40</v>
      </c>
      <c r="R445" t="s">
        <v>39</v>
      </c>
      <c r="S445">
        <v>534527</v>
      </c>
      <c r="T445">
        <v>534527</v>
      </c>
      <c r="X445" t="s">
        <v>41</v>
      </c>
      <c r="Z445" s="1">
        <v>2.8</v>
      </c>
      <c r="AA445" s="1">
        <f>IF(AND(ISNUMBER(Z445),ISNUMBER(I445),I445&gt;0,ISNUMBER(J445)),ROUND(Z445*J445/I445,2),"")</f>
        <v>3.02</v>
      </c>
      <c r="AB445" t="s">
        <v>42</v>
      </c>
      <c r="AC445" t="s">
        <v>43</v>
      </c>
      <c r="AD445" t="s">
        <v>44</v>
      </c>
      <c r="AE445" t="s">
        <v>45</v>
      </c>
    </row>
    <row r="446">
      <c r="A446">
        <v>991548</v>
      </c>
      <c r="B446">
        <v>991548</v>
      </c>
      <c r="C446" t="s">
        <v>799</v>
      </c>
      <c r="D446" t="s">
        <v>796</v>
      </c>
      <c r="E446" t="s">
        <v>92</v>
      </c>
      <c r="F446" s="1">
        <v>2.25</v>
      </c>
      <c r="G446" s="2">
        <v>0.4</v>
      </c>
      <c r="H446" s="2">
        <v>0.512</v>
      </c>
      <c r="I446" s="1">
        <v>3.15</v>
      </c>
      <c r="J446" s="1">
        <f>IF(AND(ISNUMBER(F446),ISNUMBER(H446)),ROUND(F446*(1+H446),2),"")</f>
        <v>3.4</v>
      </c>
      <c r="K446" s="2">
        <f>IF(AND(ISNUMBER(I446),I446&gt;0,ISNUMBER(J446)),J446/I446-1,"")</f>
        <v>0.0793650793650793</v>
      </c>
      <c r="L446" t="s">
        <v>38</v>
      </c>
      <c r="M446" s="1">
        <v>3.15</v>
      </c>
      <c r="N446" s="1">
        <f>IF(AND(ISNUMBER(U446),U446&gt;0,ISNUMBER(J446)),ROUND(J446/U446,2),"")</f>
        <v>3.4</v>
      </c>
      <c r="Q446" t="s">
        <v>40</v>
      </c>
      <c r="R446" t="s">
        <v>39</v>
      </c>
      <c r="S446">
        <v>763969</v>
      </c>
      <c r="T446">
        <v>763969</v>
      </c>
      <c r="U446" s="3">
        <v>1</v>
      </c>
      <c r="X446" t="s">
        <v>41</v>
      </c>
      <c r="Z446" s="1">
        <v>3.15</v>
      </c>
      <c r="AA446" s="1">
        <f>IF(AND(ISNUMBER(Z446),ISNUMBER(I446),I446&gt;0,ISNUMBER(J446)),ROUND(Z446*J446/I446,2),"")</f>
        <v>3.4</v>
      </c>
      <c r="AB446" t="s">
        <v>42</v>
      </c>
      <c r="AC446" t="s">
        <v>43</v>
      </c>
      <c r="AD446" t="s">
        <v>48</v>
      </c>
      <c r="AE446" t="s">
        <v>45</v>
      </c>
    </row>
    <row r="447">
      <c r="A447">
        <v>812656</v>
      </c>
      <c r="B447">
        <v>812656</v>
      </c>
      <c r="C447" t="s">
        <v>800</v>
      </c>
      <c r="D447" t="s">
        <v>796</v>
      </c>
      <c r="E447" t="s">
        <v>98</v>
      </c>
      <c r="F447" s="1">
        <v>2</v>
      </c>
      <c r="G447" s="2">
        <v>0.4</v>
      </c>
      <c r="H447" s="2">
        <v>0.512</v>
      </c>
      <c r="I447" s="1">
        <v>2.8</v>
      </c>
      <c r="J447" s="1">
        <f>IF(AND(ISNUMBER(F447),ISNUMBER(H447)),ROUND(F447*(1+H447),2),"")</f>
        <v>3.02</v>
      </c>
      <c r="K447" s="2">
        <f>IF(AND(ISNUMBER(I447),I447&gt;0,ISNUMBER(J447)),J447/I447-1,"")</f>
        <v>0.07857142857142874</v>
      </c>
      <c r="L447" t="s">
        <v>38</v>
      </c>
      <c r="N447" s="1" t="s">
        <f>IF(AND(ISNUMBER(U447),U447&gt;0,ISNUMBER(J447)),ROUND(J447/U447,2),"")</f>
        <v>39</v>
      </c>
      <c r="Q447" t="s">
        <v>40</v>
      </c>
      <c r="R447" t="s">
        <v>39</v>
      </c>
      <c r="S447">
        <v>534524</v>
      </c>
      <c r="T447">
        <v>534524</v>
      </c>
      <c r="X447" t="s">
        <v>41</v>
      </c>
      <c r="Z447" s="1">
        <v>2.8</v>
      </c>
      <c r="AA447" s="1">
        <f>IF(AND(ISNUMBER(Z447),ISNUMBER(I447),I447&gt;0,ISNUMBER(J447)),ROUND(Z447*J447/I447,2),"")</f>
        <v>3.02</v>
      </c>
      <c r="AB447" t="s">
        <v>42</v>
      </c>
      <c r="AC447" t="s">
        <v>43</v>
      </c>
      <c r="AD447" t="s">
        <v>44</v>
      </c>
      <c r="AE447" t="s">
        <v>45</v>
      </c>
    </row>
    <row r="448">
      <c r="A448">
        <v>805893</v>
      </c>
      <c r="B448">
        <v>805893</v>
      </c>
      <c r="C448" t="s">
        <v>801</v>
      </c>
      <c r="D448" t="s">
        <v>796</v>
      </c>
      <c r="E448" t="s">
        <v>100</v>
      </c>
      <c r="F448" s="1">
        <v>2.2</v>
      </c>
      <c r="G448" s="2">
        <v>0.4</v>
      </c>
      <c r="H448" s="2">
        <v>0.512</v>
      </c>
      <c r="I448" s="1">
        <v>3.08</v>
      </c>
      <c r="J448" s="1">
        <f>IF(AND(ISNUMBER(F448),ISNUMBER(H448)),ROUND(F448*(1+H448),2),"")</f>
        <v>3.33</v>
      </c>
      <c r="K448" s="2">
        <f>IF(AND(ISNUMBER(I448),I448&gt;0,ISNUMBER(J448)),J448/I448-1,"")</f>
        <v>0.08116883116883122</v>
      </c>
      <c r="L448" t="s">
        <v>38</v>
      </c>
      <c r="M448" s="1">
        <v>3.08</v>
      </c>
      <c r="N448" s="1">
        <f>IF(AND(ISNUMBER(U448),U448&gt;0,ISNUMBER(J448)),ROUND(J448/U448,2),"")</f>
        <v>3.33</v>
      </c>
      <c r="Q448" t="s">
        <v>40</v>
      </c>
      <c r="R448" t="s">
        <v>39</v>
      </c>
      <c r="S448">
        <v>526952</v>
      </c>
      <c r="T448">
        <v>526952</v>
      </c>
      <c r="U448" s="3">
        <v>1</v>
      </c>
      <c r="X448" t="s">
        <v>41</v>
      </c>
      <c r="Z448" s="1">
        <v>3.08</v>
      </c>
      <c r="AA448" s="1">
        <f>IF(AND(ISNUMBER(Z448),ISNUMBER(I448),I448&gt;0,ISNUMBER(J448)),ROUND(Z448*J448/I448,2),"")</f>
        <v>3.33</v>
      </c>
      <c r="AB448" t="s">
        <v>42</v>
      </c>
      <c r="AC448" t="s">
        <v>43</v>
      </c>
      <c r="AD448" t="s">
        <v>48</v>
      </c>
      <c r="AE448" t="s">
        <v>45</v>
      </c>
    </row>
    <row r="449">
      <c r="A449">
        <v>805898</v>
      </c>
      <c r="B449">
        <v>805898</v>
      </c>
      <c r="C449" t="s">
        <v>802</v>
      </c>
      <c r="D449" t="s">
        <v>796</v>
      </c>
      <c r="E449" t="s">
        <v>96</v>
      </c>
      <c r="F449" s="1">
        <v>2.25</v>
      </c>
      <c r="G449" s="2">
        <v>0.4</v>
      </c>
      <c r="H449" s="2">
        <v>0.512</v>
      </c>
      <c r="I449" s="1">
        <v>3.15</v>
      </c>
      <c r="J449" s="1">
        <f>IF(AND(ISNUMBER(F449),ISNUMBER(H449)),ROUND(F449*(1+H449),2),"")</f>
        <v>3.4</v>
      </c>
      <c r="K449" s="2">
        <f>IF(AND(ISNUMBER(I449),I449&gt;0,ISNUMBER(J449)),J449/I449-1,"")</f>
        <v>0.0793650793650793</v>
      </c>
      <c r="L449" t="s">
        <v>38</v>
      </c>
      <c r="N449" s="1" t="s">
        <f>IF(AND(ISNUMBER(U449),U449&gt;0,ISNUMBER(J449)),ROUND(J449/U449,2),"")</f>
        <v>39</v>
      </c>
      <c r="Q449" t="s">
        <v>40</v>
      </c>
      <c r="R449" t="s">
        <v>39</v>
      </c>
      <c r="S449">
        <v>526956</v>
      </c>
      <c r="T449">
        <v>526956</v>
      </c>
      <c r="X449" t="s">
        <v>41</v>
      </c>
      <c r="Z449" s="1">
        <v>3.15</v>
      </c>
      <c r="AA449" s="1">
        <f>IF(AND(ISNUMBER(Z449),ISNUMBER(I449),I449&gt;0,ISNUMBER(J449)),ROUND(Z449*J449/I449,2),"")</f>
        <v>3.4</v>
      </c>
      <c r="AB449" t="s">
        <v>42</v>
      </c>
      <c r="AC449" t="s">
        <v>43</v>
      </c>
      <c r="AD449" t="s">
        <v>44</v>
      </c>
      <c r="AE449" t="s">
        <v>45</v>
      </c>
    </row>
    <row r="450">
      <c r="A450">
        <v>805911</v>
      </c>
      <c r="B450">
        <v>805911</v>
      </c>
      <c r="C450" t="s">
        <v>803</v>
      </c>
      <c r="D450" t="s">
        <v>796</v>
      </c>
      <c r="E450" t="s">
        <v>96</v>
      </c>
      <c r="F450" s="1">
        <v>2.5</v>
      </c>
      <c r="G450" s="2">
        <v>0.4</v>
      </c>
      <c r="H450" s="2">
        <v>0.512</v>
      </c>
      <c r="I450" s="1">
        <v>3.5</v>
      </c>
      <c r="J450" s="1">
        <f>IF(AND(ISNUMBER(F450),ISNUMBER(H450)),ROUND(F450*(1+H450),2),"")</f>
        <v>3.78</v>
      </c>
      <c r="K450" s="2">
        <f>IF(AND(ISNUMBER(I450),I450&gt;0,ISNUMBER(J450)),J450/I450-1,"")</f>
        <v>0.07999999999999985</v>
      </c>
      <c r="L450" t="s">
        <v>38</v>
      </c>
      <c r="N450" s="1" t="s">
        <f>IF(AND(ISNUMBER(U450),U450&gt;0,ISNUMBER(J450)),ROUND(J450/U450,2),"")</f>
        <v>39</v>
      </c>
      <c r="Q450" t="s">
        <v>40</v>
      </c>
      <c r="R450" t="s">
        <v>39</v>
      </c>
      <c r="S450">
        <v>526969</v>
      </c>
      <c r="T450">
        <v>526969</v>
      </c>
      <c r="X450" t="s">
        <v>41</v>
      </c>
      <c r="Z450" s="1">
        <v>3.5</v>
      </c>
      <c r="AA450" s="1">
        <f>IF(AND(ISNUMBER(Z450),ISNUMBER(I450),I450&gt;0,ISNUMBER(J450)),ROUND(Z450*J450/I450,2),"")</f>
        <v>3.78</v>
      </c>
      <c r="AB450" t="s">
        <v>42</v>
      </c>
      <c r="AC450" t="s">
        <v>43</v>
      </c>
      <c r="AD450" t="s">
        <v>44</v>
      </c>
      <c r="AE450" t="s">
        <v>45</v>
      </c>
    </row>
    <row r="451">
      <c r="A451">
        <v>805869</v>
      </c>
      <c r="B451">
        <v>805869</v>
      </c>
      <c r="C451" t="s">
        <v>804</v>
      </c>
      <c r="D451" t="s">
        <v>796</v>
      </c>
      <c r="E451" t="s">
        <v>96</v>
      </c>
      <c r="F451" s="1">
        <v>2</v>
      </c>
      <c r="G451" s="2">
        <v>0.4</v>
      </c>
      <c r="H451" s="2">
        <v>0.512</v>
      </c>
      <c r="I451" s="1">
        <v>2.8</v>
      </c>
      <c r="J451" s="1">
        <f>IF(AND(ISNUMBER(F451),ISNUMBER(H451)),ROUND(F451*(1+H451),2),"")</f>
        <v>3.02</v>
      </c>
      <c r="K451" s="2">
        <f>IF(AND(ISNUMBER(I451),I451&gt;0,ISNUMBER(J451)),J451/I451-1,"")</f>
        <v>0.07857142857142874</v>
      </c>
      <c r="L451" t="s">
        <v>38</v>
      </c>
      <c r="N451" s="1" t="s">
        <f>IF(AND(ISNUMBER(U451),U451&gt;0,ISNUMBER(J451)),ROUND(J451/U451,2),"")</f>
        <v>39</v>
      </c>
      <c r="Q451" t="s">
        <v>40</v>
      </c>
      <c r="R451" t="s">
        <v>39</v>
      </c>
      <c r="S451">
        <v>526927</v>
      </c>
      <c r="T451">
        <v>526927</v>
      </c>
      <c r="X451" t="s">
        <v>41</v>
      </c>
      <c r="Z451" s="1">
        <v>2.8</v>
      </c>
      <c r="AA451" s="1">
        <f>IF(AND(ISNUMBER(Z451),ISNUMBER(I451),I451&gt;0,ISNUMBER(J451)),ROUND(Z451*J451/I451,2),"")</f>
        <v>3.02</v>
      </c>
      <c r="AB451" t="s">
        <v>42</v>
      </c>
      <c r="AC451" t="s">
        <v>43</v>
      </c>
      <c r="AD451" t="s">
        <v>48</v>
      </c>
      <c r="AE451" t="s">
        <v>45</v>
      </c>
    </row>
    <row r="452">
      <c r="A452">
        <v>897379</v>
      </c>
      <c r="B452">
        <v>897379</v>
      </c>
      <c r="C452" t="s">
        <v>805</v>
      </c>
      <c r="D452" t="s">
        <v>796</v>
      </c>
      <c r="E452" t="s">
        <v>113</v>
      </c>
      <c r="F452" s="1">
        <v>4.5</v>
      </c>
      <c r="G452" s="2">
        <v>0.4</v>
      </c>
      <c r="H452" s="2">
        <v>0.512</v>
      </c>
      <c r="I452" s="1">
        <v>6.3</v>
      </c>
      <c r="J452" s="1">
        <f>IF(AND(ISNUMBER(F452),ISNUMBER(H452)),ROUND(F452*(1+H452),2),"")</f>
        <v>6.8</v>
      </c>
      <c r="K452" s="2">
        <f>IF(AND(ISNUMBER(I452),I452&gt;0,ISNUMBER(J452)),J452/I452-1,"")</f>
        <v>0.0793650793650793</v>
      </c>
      <c r="L452" t="s">
        <v>38</v>
      </c>
      <c r="M452" s="1">
        <v>6.3</v>
      </c>
      <c r="N452" s="1">
        <f>IF(AND(ISNUMBER(U452),U452&gt;0,ISNUMBER(J452)),ROUND(J452/U452,2),"")</f>
        <v>6.8</v>
      </c>
      <c r="Q452" t="s">
        <v>40</v>
      </c>
      <c r="R452" t="s">
        <v>39</v>
      </c>
      <c r="S452">
        <v>638626</v>
      </c>
      <c r="T452">
        <v>638626</v>
      </c>
      <c r="U452" s="3">
        <v>1</v>
      </c>
      <c r="X452" t="s">
        <v>41</v>
      </c>
      <c r="Z452" s="1">
        <v>6.3</v>
      </c>
      <c r="AA452" s="1">
        <f>IF(AND(ISNUMBER(Z452),ISNUMBER(I452),I452&gt;0,ISNUMBER(J452)),ROUND(Z452*J452/I452,2),"")</f>
        <v>6.8</v>
      </c>
      <c r="AB452" t="s">
        <v>42</v>
      </c>
      <c r="AC452" t="s">
        <v>43</v>
      </c>
      <c r="AD452" t="s">
        <v>48</v>
      </c>
      <c r="AE452" t="s">
        <v>45</v>
      </c>
    </row>
    <row r="453">
      <c r="A453">
        <v>980329</v>
      </c>
      <c r="B453">
        <v>980329</v>
      </c>
      <c r="C453" t="s">
        <v>806</v>
      </c>
      <c r="D453" t="s">
        <v>796</v>
      </c>
      <c r="E453" t="s">
        <v>96</v>
      </c>
      <c r="F453" s="1">
        <v>2.75</v>
      </c>
      <c r="G453" s="2">
        <v>0.4</v>
      </c>
      <c r="H453" s="2">
        <v>0.512</v>
      </c>
      <c r="I453" s="1">
        <v>3.85</v>
      </c>
      <c r="J453" s="1">
        <f>IF(AND(ISNUMBER(F453),ISNUMBER(H453)),ROUND(F453*(1+H453),2),"")</f>
        <v>4.16</v>
      </c>
      <c r="K453" s="2">
        <f>IF(AND(ISNUMBER(I453),I453&gt;0,ISNUMBER(J453)),J453/I453-1,"")</f>
        <v>0.08051948051948044</v>
      </c>
      <c r="L453" t="s">
        <v>38</v>
      </c>
      <c r="N453" s="1" t="s">
        <f>IF(AND(ISNUMBER(U453),U453&gt;0,ISNUMBER(J453)),ROUND(J453/U453,2),"")</f>
        <v>39</v>
      </c>
      <c r="Q453" t="s">
        <v>40</v>
      </c>
      <c r="R453" t="s">
        <v>39</v>
      </c>
      <c r="S453">
        <v>748244</v>
      </c>
      <c r="T453">
        <v>748244</v>
      </c>
      <c r="X453" t="s">
        <v>41</v>
      </c>
      <c r="Z453" s="1">
        <v>3.85</v>
      </c>
      <c r="AA453" s="1">
        <f>IF(AND(ISNUMBER(Z453),ISNUMBER(I453),I453&gt;0,ISNUMBER(J453)),ROUND(Z453*J453/I453,2),"")</f>
        <v>4.16</v>
      </c>
      <c r="AB453" t="s">
        <v>42</v>
      </c>
      <c r="AC453" t="s">
        <v>43</v>
      </c>
      <c r="AD453" t="s">
        <v>48</v>
      </c>
      <c r="AE453" t="s">
        <v>45</v>
      </c>
    </row>
    <row r="454">
      <c r="A454">
        <v>805848</v>
      </c>
      <c r="B454">
        <v>805848</v>
      </c>
      <c r="C454" t="s">
        <v>807</v>
      </c>
      <c r="D454" t="s">
        <v>796</v>
      </c>
      <c r="E454" t="s">
        <v>96</v>
      </c>
      <c r="F454" s="1">
        <v>2</v>
      </c>
      <c r="G454" s="2">
        <v>0.4</v>
      </c>
      <c r="H454" s="2">
        <v>0.512</v>
      </c>
      <c r="I454" s="1">
        <v>2.8</v>
      </c>
      <c r="J454" s="1">
        <f>IF(AND(ISNUMBER(F454),ISNUMBER(H454)),ROUND(F454*(1+H454),2),"")</f>
        <v>3.02</v>
      </c>
      <c r="K454" s="2">
        <f>IF(AND(ISNUMBER(I454),I454&gt;0,ISNUMBER(J454)),J454/I454-1,"")</f>
        <v>0.07857142857142874</v>
      </c>
      <c r="L454" t="s">
        <v>38</v>
      </c>
      <c r="N454" s="1" t="s">
        <f>IF(AND(ISNUMBER(U454),U454&gt;0,ISNUMBER(J454)),ROUND(J454/U454,2),"")</f>
        <v>39</v>
      </c>
      <c r="Q454" t="s">
        <v>40</v>
      </c>
      <c r="R454" t="s">
        <v>39</v>
      </c>
      <c r="S454">
        <v>526906</v>
      </c>
      <c r="T454">
        <v>526906</v>
      </c>
      <c r="X454" t="s">
        <v>41</v>
      </c>
      <c r="Z454" s="1">
        <v>2.8</v>
      </c>
      <c r="AA454" s="1">
        <f>IF(AND(ISNUMBER(Z454),ISNUMBER(I454),I454&gt;0,ISNUMBER(J454)),ROUND(Z454*J454/I454,2),"")</f>
        <v>3.02</v>
      </c>
      <c r="AB454" t="s">
        <v>42</v>
      </c>
      <c r="AC454" t="s">
        <v>43</v>
      </c>
      <c r="AD454" t="s">
        <v>44</v>
      </c>
      <c r="AE454" t="s">
        <v>45</v>
      </c>
    </row>
    <row r="455">
      <c r="A455">
        <v>982583</v>
      </c>
      <c r="B455">
        <v>982583</v>
      </c>
      <c r="C455" t="s">
        <v>808</v>
      </c>
      <c r="D455" t="s">
        <v>796</v>
      </c>
      <c r="E455" t="s">
        <v>133</v>
      </c>
      <c r="F455" s="1">
        <v>2.25</v>
      </c>
      <c r="G455" s="2">
        <v>0.4</v>
      </c>
      <c r="H455" s="2">
        <v>0.512</v>
      </c>
      <c r="I455" s="1">
        <v>3.15</v>
      </c>
      <c r="J455" s="1">
        <f>IF(AND(ISNUMBER(F455),ISNUMBER(H455)),ROUND(F455*(1+H455),2),"")</f>
        <v>3.4</v>
      </c>
      <c r="K455" s="2">
        <f>IF(AND(ISNUMBER(I455),I455&gt;0,ISNUMBER(J455)),J455/I455-1,"")</f>
        <v>0.0793650793650793</v>
      </c>
      <c r="L455" t="s">
        <v>38</v>
      </c>
      <c r="N455" s="1" t="s">
        <f>IF(AND(ISNUMBER(U455),U455&gt;0,ISNUMBER(J455)),ROUND(J455/U455,2),"")</f>
        <v>39</v>
      </c>
      <c r="Q455" t="s">
        <v>40</v>
      </c>
      <c r="R455" t="s">
        <v>39</v>
      </c>
      <c r="S455">
        <v>751076</v>
      </c>
      <c r="T455">
        <v>751076</v>
      </c>
      <c r="X455" t="s">
        <v>41</v>
      </c>
      <c r="Z455" s="1">
        <v>3.15</v>
      </c>
      <c r="AA455" s="1">
        <f>IF(AND(ISNUMBER(Z455),ISNUMBER(I455),I455&gt;0,ISNUMBER(J455)),ROUND(Z455*J455/I455,2),"")</f>
        <v>3.4</v>
      </c>
      <c r="AB455" t="s">
        <v>42</v>
      </c>
      <c r="AC455" t="s">
        <v>43</v>
      </c>
      <c r="AD455" t="s">
        <v>48</v>
      </c>
      <c r="AE455" t="s">
        <v>45</v>
      </c>
    </row>
    <row r="456">
      <c r="A456">
        <v>1129571</v>
      </c>
      <c r="B456">
        <v>1129571</v>
      </c>
      <c r="C456" t="s">
        <v>808</v>
      </c>
      <c r="D456" t="s">
        <v>796</v>
      </c>
      <c r="E456" t="s">
        <v>100</v>
      </c>
      <c r="F456" s="1">
        <v>2.25</v>
      </c>
      <c r="G456" s="2">
        <v>0.4</v>
      </c>
      <c r="H456" s="2">
        <v>0.512</v>
      </c>
      <c r="I456" s="1">
        <v>3.15</v>
      </c>
      <c r="J456" s="1">
        <f>IF(AND(ISNUMBER(F456),ISNUMBER(H456)),ROUND(F456*(1+H456),2),"")</f>
        <v>3.4</v>
      </c>
      <c r="K456" s="2">
        <f>IF(AND(ISNUMBER(I456),I456&gt;0,ISNUMBER(J456)),J456/I456-1,"")</f>
        <v>0.0793650793650793</v>
      </c>
      <c r="L456" t="s">
        <v>38</v>
      </c>
      <c r="M456" s="1">
        <v>3.15</v>
      </c>
      <c r="N456" s="1">
        <f>IF(AND(ISNUMBER(U456),U456&gt;0,ISNUMBER(J456)),ROUND(J456/U456,2),"")</f>
        <v>3.4</v>
      </c>
      <c r="Q456" t="s">
        <v>40</v>
      </c>
      <c r="R456" t="s">
        <v>39</v>
      </c>
      <c r="S456">
        <v>963330</v>
      </c>
      <c r="T456">
        <v>963330</v>
      </c>
      <c r="U456" s="3">
        <v>1</v>
      </c>
      <c r="X456" t="s">
        <v>41</v>
      </c>
      <c r="Z456" s="1">
        <v>3.15</v>
      </c>
      <c r="AA456" s="1">
        <f>IF(AND(ISNUMBER(Z456),ISNUMBER(I456),I456&gt;0,ISNUMBER(J456)),ROUND(Z456*J456/I456,2),"")</f>
        <v>3.4</v>
      </c>
      <c r="AB456" t="s">
        <v>42</v>
      </c>
      <c r="AC456" t="s">
        <v>43</v>
      </c>
      <c r="AD456" t="s">
        <v>48</v>
      </c>
      <c r="AE456" t="s">
        <v>45</v>
      </c>
    </row>
    <row r="457">
      <c r="A457">
        <v>1006109</v>
      </c>
      <c r="B457">
        <v>1006109</v>
      </c>
      <c r="C457" t="s">
        <v>809</v>
      </c>
      <c r="D457" t="s">
        <v>796</v>
      </c>
      <c r="E457" t="s">
        <v>100</v>
      </c>
      <c r="F457" s="1">
        <v>4</v>
      </c>
      <c r="G457" s="2">
        <v>0.4</v>
      </c>
      <c r="H457" s="2">
        <v>0.512</v>
      </c>
      <c r="I457" s="1">
        <v>5.6</v>
      </c>
      <c r="J457" s="1">
        <f>IF(AND(ISNUMBER(F457),ISNUMBER(H457)),ROUND(F457*(1+H457),2),"")</f>
        <v>6.05</v>
      </c>
      <c r="K457" s="2">
        <f>IF(AND(ISNUMBER(I457),I457&gt;0,ISNUMBER(J457)),J457/I457-1,"")</f>
        <v>0.0803571428571428</v>
      </c>
      <c r="L457" t="s">
        <v>38</v>
      </c>
      <c r="M457" s="1">
        <v>5.6</v>
      </c>
      <c r="N457" s="1">
        <f>IF(AND(ISNUMBER(U457),U457&gt;0,ISNUMBER(J457)),ROUND(J457/U457,2),"")</f>
        <v>6.05</v>
      </c>
      <c r="Q457" t="s">
        <v>40</v>
      </c>
      <c r="R457" t="s">
        <v>39</v>
      </c>
      <c r="S457">
        <v>786672</v>
      </c>
      <c r="T457">
        <v>786672</v>
      </c>
      <c r="U457" s="3">
        <v>1</v>
      </c>
      <c r="X457" t="s">
        <v>41</v>
      </c>
      <c r="Z457" s="1">
        <v>5.6</v>
      </c>
      <c r="AA457" s="1">
        <f>IF(AND(ISNUMBER(Z457),ISNUMBER(I457),I457&gt;0,ISNUMBER(J457)),ROUND(Z457*J457/I457,2),"")</f>
        <v>6.05</v>
      </c>
      <c r="AB457" t="s">
        <v>42</v>
      </c>
      <c r="AC457" t="s">
        <v>43</v>
      </c>
      <c r="AD457" t="s">
        <v>48</v>
      </c>
      <c r="AE457" t="s">
        <v>45</v>
      </c>
    </row>
    <row r="458">
      <c r="A458">
        <v>805856</v>
      </c>
      <c r="B458">
        <v>805856</v>
      </c>
      <c r="C458" t="s">
        <v>810</v>
      </c>
      <c r="D458" t="s">
        <v>796</v>
      </c>
      <c r="E458" t="s">
        <v>96</v>
      </c>
      <c r="F458" s="1">
        <v>2.25</v>
      </c>
      <c r="G458" s="2">
        <v>0.4</v>
      </c>
      <c r="H458" s="2">
        <v>0.512</v>
      </c>
      <c r="I458" s="1">
        <v>3.15</v>
      </c>
      <c r="J458" s="1">
        <f>IF(AND(ISNUMBER(F458),ISNUMBER(H458)),ROUND(F458*(1+H458),2),"")</f>
        <v>3.4</v>
      </c>
      <c r="K458" s="2">
        <f>IF(AND(ISNUMBER(I458),I458&gt;0,ISNUMBER(J458)),J458/I458-1,"")</f>
        <v>0.0793650793650793</v>
      </c>
      <c r="L458" t="s">
        <v>38</v>
      </c>
      <c r="N458" s="1" t="s">
        <f>IF(AND(ISNUMBER(U458),U458&gt;0,ISNUMBER(J458)),ROUND(J458/U458,2),"")</f>
        <v>39</v>
      </c>
      <c r="Q458" t="s">
        <v>40</v>
      </c>
      <c r="R458" t="s">
        <v>39</v>
      </c>
      <c r="S458">
        <v>526915</v>
      </c>
      <c r="T458">
        <v>526915</v>
      </c>
      <c r="X458" t="s">
        <v>41</v>
      </c>
      <c r="Z458" s="1">
        <v>3.15</v>
      </c>
      <c r="AA458" s="1">
        <f>IF(AND(ISNUMBER(Z458),ISNUMBER(I458),I458&gt;0,ISNUMBER(J458)),ROUND(Z458*J458/I458,2),"")</f>
        <v>3.4</v>
      </c>
      <c r="AB458" t="s">
        <v>42</v>
      </c>
      <c r="AC458" t="s">
        <v>43</v>
      </c>
      <c r="AD458" t="s">
        <v>48</v>
      </c>
      <c r="AE458" t="s">
        <v>45</v>
      </c>
    </row>
    <row r="459">
      <c r="A459">
        <v>980311</v>
      </c>
      <c r="B459">
        <v>980311</v>
      </c>
      <c r="C459" t="s">
        <v>122</v>
      </c>
      <c r="D459" t="s">
        <v>796</v>
      </c>
      <c r="E459" t="s">
        <v>100</v>
      </c>
      <c r="F459" s="1">
        <v>1.75</v>
      </c>
      <c r="G459" s="2">
        <v>0.4</v>
      </c>
      <c r="H459" s="2">
        <v>0.512</v>
      </c>
      <c r="I459" s="1">
        <v>2.45</v>
      </c>
      <c r="J459" s="1">
        <f>IF(AND(ISNUMBER(F459),ISNUMBER(H459)),ROUND(F459*(1+H459),2),"")</f>
        <v>2.65</v>
      </c>
      <c r="K459" s="2">
        <f>IF(AND(ISNUMBER(I459),I459&gt;0,ISNUMBER(J459)),J459/I459-1,"")</f>
        <v>0.08163265306122436</v>
      </c>
      <c r="L459" t="s">
        <v>38</v>
      </c>
      <c r="M459" s="1">
        <v>2.45</v>
      </c>
      <c r="N459" s="1">
        <f>IF(AND(ISNUMBER(U459),U459&gt;0,ISNUMBER(J459)),ROUND(J459/U459,2),"")</f>
        <v>2.65</v>
      </c>
      <c r="Q459" t="s">
        <v>40</v>
      </c>
      <c r="R459" t="s">
        <v>39</v>
      </c>
      <c r="S459">
        <v>748218</v>
      </c>
      <c r="T459">
        <v>748218</v>
      </c>
      <c r="U459" s="3">
        <v>1</v>
      </c>
      <c r="X459" t="s">
        <v>41</v>
      </c>
      <c r="Z459" s="1">
        <v>2.45</v>
      </c>
      <c r="AA459" s="1">
        <f>IF(AND(ISNUMBER(Z459),ISNUMBER(I459),I459&gt;0,ISNUMBER(J459)),ROUND(Z459*J459/I459,2),"")</f>
        <v>2.65</v>
      </c>
      <c r="AB459" t="s">
        <v>42</v>
      </c>
      <c r="AC459" t="s">
        <v>43</v>
      </c>
      <c r="AD459" t="s">
        <v>48</v>
      </c>
      <c r="AE459" t="s">
        <v>45</v>
      </c>
    </row>
    <row r="460">
      <c r="A460">
        <v>912730</v>
      </c>
      <c r="B460">
        <v>912730</v>
      </c>
      <c r="C460" t="s">
        <v>811</v>
      </c>
      <c r="D460" t="s">
        <v>796</v>
      </c>
      <c r="E460" t="s">
        <v>133</v>
      </c>
      <c r="F460" s="1">
        <v>2.5</v>
      </c>
      <c r="G460" s="2">
        <v>0.4</v>
      </c>
      <c r="H460" s="2">
        <v>0.512</v>
      </c>
      <c r="I460" s="1">
        <v>3.5</v>
      </c>
      <c r="J460" s="1">
        <f>IF(AND(ISNUMBER(F460),ISNUMBER(H460)),ROUND(F460*(1+H460),2),"")</f>
        <v>3.78</v>
      </c>
      <c r="K460" s="2">
        <f>IF(AND(ISNUMBER(I460),I460&gt;0,ISNUMBER(J460)),J460/I460-1,"")</f>
        <v>0.07999999999999985</v>
      </c>
      <c r="L460" t="s">
        <v>38</v>
      </c>
      <c r="N460" s="1" t="s">
        <f>IF(AND(ISNUMBER(U460),U460&gt;0,ISNUMBER(J460)),ROUND(J460/U460,2),"")</f>
        <v>39</v>
      </c>
      <c r="Q460" t="s">
        <v>40</v>
      </c>
      <c r="R460" t="s">
        <v>39</v>
      </c>
      <c r="S460">
        <v>658104</v>
      </c>
      <c r="T460">
        <v>658104</v>
      </c>
      <c r="X460" t="s">
        <v>41</v>
      </c>
      <c r="Z460" s="1">
        <v>3.5</v>
      </c>
      <c r="AA460" s="1">
        <f>IF(AND(ISNUMBER(Z460),ISNUMBER(I460),I460&gt;0,ISNUMBER(J460)),ROUND(Z460*J460/I460,2),"")</f>
        <v>3.78</v>
      </c>
      <c r="AB460" t="s">
        <v>42</v>
      </c>
      <c r="AC460" t="s">
        <v>43</v>
      </c>
      <c r="AD460" t="s">
        <v>48</v>
      </c>
      <c r="AE460" t="s">
        <v>45</v>
      </c>
    </row>
    <row r="461">
      <c r="A461">
        <v>805934</v>
      </c>
      <c r="B461">
        <v>805934</v>
      </c>
      <c r="C461" t="s">
        <v>812</v>
      </c>
      <c r="D461" t="s">
        <v>796</v>
      </c>
      <c r="E461" t="s">
        <v>96</v>
      </c>
      <c r="F461" s="1">
        <v>2</v>
      </c>
      <c r="G461" s="2">
        <v>0.4</v>
      </c>
      <c r="H461" s="2">
        <v>0.512</v>
      </c>
      <c r="I461" s="1">
        <v>2.8</v>
      </c>
      <c r="J461" s="1">
        <f>IF(AND(ISNUMBER(F461),ISNUMBER(H461)),ROUND(F461*(1+H461),2),"")</f>
        <v>3.02</v>
      </c>
      <c r="K461" s="2">
        <f>IF(AND(ISNUMBER(I461),I461&gt;0,ISNUMBER(J461)),J461/I461-1,"")</f>
        <v>0.07857142857142874</v>
      </c>
      <c r="L461" t="s">
        <v>38</v>
      </c>
      <c r="N461" s="1" t="s">
        <f>IF(AND(ISNUMBER(U461),U461&gt;0,ISNUMBER(J461)),ROUND(J461/U461,2),"")</f>
        <v>39</v>
      </c>
      <c r="Q461" t="s">
        <v>40</v>
      </c>
      <c r="R461" t="s">
        <v>39</v>
      </c>
      <c r="S461">
        <v>526994</v>
      </c>
      <c r="T461">
        <v>526994</v>
      </c>
      <c r="X461" t="s">
        <v>41</v>
      </c>
      <c r="Z461" s="1">
        <v>2.8</v>
      </c>
      <c r="AA461" s="1">
        <f>IF(AND(ISNUMBER(Z461),ISNUMBER(I461),I461&gt;0,ISNUMBER(J461)),ROUND(Z461*J461/I461,2),"")</f>
        <v>3.02</v>
      </c>
      <c r="AB461" t="s">
        <v>42</v>
      </c>
      <c r="AC461" t="s">
        <v>43</v>
      </c>
      <c r="AD461" t="s">
        <v>44</v>
      </c>
      <c r="AE461" t="s">
        <v>45</v>
      </c>
    </row>
    <row r="462">
      <c r="A462">
        <v>805929</v>
      </c>
      <c r="B462">
        <v>805929</v>
      </c>
      <c r="C462" t="s">
        <v>813</v>
      </c>
      <c r="D462" t="s">
        <v>796</v>
      </c>
      <c r="E462" t="s">
        <v>814</v>
      </c>
      <c r="F462" s="1">
        <v>4.25</v>
      </c>
      <c r="G462" s="2">
        <v>0.4</v>
      </c>
      <c r="H462" s="2">
        <v>0.512</v>
      </c>
      <c r="I462" s="1">
        <v>5.95</v>
      </c>
      <c r="J462" s="1">
        <f>IF(AND(ISNUMBER(F462),ISNUMBER(H462)),ROUND(F462*(1+H462),2),"")</f>
        <v>6.43</v>
      </c>
      <c r="K462" s="2">
        <f>IF(AND(ISNUMBER(I462),I462&gt;0,ISNUMBER(J462)),J462/I462-1,"")</f>
        <v>0.08067226890756296</v>
      </c>
      <c r="L462" t="s">
        <v>38</v>
      </c>
      <c r="N462" s="1" t="s">
        <f>IF(AND(ISNUMBER(U462),U462&gt;0,ISNUMBER(J462)),ROUND(J462/U462,2),"")</f>
        <v>39</v>
      </c>
      <c r="Q462" t="s">
        <v>40</v>
      </c>
      <c r="R462" t="s">
        <v>39</v>
      </c>
      <c r="S462">
        <v>526989</v>
      </c>
      <c r="T462">
        <v>526989</v>
      </c>
      <c r="X462" t="s">
        <v>41</v>
      </c>
      <c r="Z462" s="1">
        <v>5.95</v>
      </c>
      <c r="AA462" s="1">
        <f>IF(AND(ISNUMBER(Z462),ISNUMBER(I462),I462&gt;0,ISNUMBER(J462)),ROUND(Z462*J462/I462,2),"")</f>
        <v>6.43</v>
      </c>
      <c r="AB462" t="s">
        <v>42</v>
      </c>
      <c r="AC462" t="s">
        <v>43</v>
      </c>
      <c r="AD462" t="s">
        <v>44</v>
      </c>
      <c r="AE462" t="s">
        <v>45</v>
      </c>
    </row>
    <row r="463">
      <c r="A463">
        <v>805939</v>
      </c>
      <c r="B463">
        <v>805939</v>
      </c>
      <c r="C463" t="s">
        <v>815</v>
      </c>
      <c r="D463" t="s">
        <v>796</v>
      </c>
      <c r="E463" t="s">
        <v>781</v>
      </c>
      <c r="F463" s="1">
        <v>3.5</v>
      </c>
      <c r="G463" s="2">
        <v>0.4</v>
      </c>
      <c r="H463" s="2">
        <v>0.512</v>
      </c>
      <c r="I463" s="1">
        <v>4.9</v>
      </c>
      <c r="J463" s="1">
        <f>IF(AND(ISNUMBER(F463),ISNUMBER(H463)),ROUND(F463*(1+H463),2),"")</f>
        <v>5.29</v>
      </c>
      <c r="K463" s="2">
        <f>IF(AND(ISNUMBER(I463),I463&gt;0,ISNUMBER(J463)),J463/I463-1,"")</f>
        <v>0.07959183673469372</v>
      </c>
      <c r="L463" t="s">
        <v>38</v>
      </c>
      <c r="N463" s="1" t="s">
        <f>IF(AND(ISNUMBER(U463),U463&gt;0,ISNUMBER(J463)),ROUND(J463/U463,2),"")</f>
        <v>39</v>
      </c>
      <c r="Q463" t="s">
        <v>40</v>
      </c>
      <c r="R463" t="s">
        <v>39</v>
      </c>
      <c r="S463">
        <v>526999</v>
      </c>
      <c r="T463">
        <v>526999</v>
      </c>
      <c r="X463" t="s">
        <v>41</v>
      </c>
      <c r="Z463" s="1">
        <v>4.9</v>
      </c>
      <c r="AA463" s="1">
        <f>IF(AND(ISNUMBER(Z463),ISNUMBER(I463),I463&gt;0,ISNUMBER(J463)),ROUND(Z463*J463/I463,2),"")</f>
        <v>5.29</v>
      </c>
      <c r="AB463" t="s">
        <v>42</v>
      </c>
      <c r="AC463" t="s">
        <v>43</v>
      </c>
      <c r="AD463" t="s">
        <v>48</v>
      </c>
      <c r="AE463" t="s">
        <v>45</v>
      </c>
    </row>
    <row r="464">
      <c r="A464">
        <v>1004981</v>
      </c>
      <c r="B464">
        <v>1004981</v>
      </c>
      <c r="C464" t="s">
        <v>816</v>
      </c>
      <c r="D464" t="s">
        <v>796</v>
      </c>
      <c r="E464" t="s">
        <v>817</v>
      </c>
      <c r="F464" s="1">
        <v>4.5</v>
      </c>
      <c r="G464" s="2">
        <v>0.4</v>
      </c>
      <c r="H464" s="2">
        <v>0.512</v>
      </c>
      <c r="I464" s="1">
        <v>6.3</v>
      </c>
      <c r="J464" s="1">
        <f>IF(AND(ISNUMBER(F464),ISNUMBER(H464)),ROUND(F464*(1+H464),2),"")</f>
        <v>6.8</v>
      </c>
      <c r="K464" s="2">
        <f>IF(AND(ISNUMBER(I464),I464&gt;0,ISNUMBER(J464)),J464/I464-1,"")</f>
        <v>0.0793650793650793</v>
      </c>
      <c r="L464" t="s">
        <v>38</v>
      </c>
      <c r="M464" s="1">
        <v>6.3</v>
      </c>
      <c r="N464" s="1">
        <f>IF(AND(ISNUMBER(U464),U464&gt;0,ISNUMBER(J464)),ROUND(J464/U464,2),"")</f>
        <v>6.8</v>
      </c>
      <c r="Q464" t="s">
        <v>40</v>
      </c>
      <c r="R464" t="s">
        <v>39</v>
      </c>
      <c r="S464">
        <v>785189</v>
      </c>
      <c r="T464">
        <v>785189</v>
      </c>
      <c r="U464" s="3">
        <v>1</v>
      </c>
      <c r="X464" t="s">
        <v>41</v>
      </c>
      <c r="Z464" s="1">
        <v>6.3</v>
      </c>
      <c r="AA464" s="1">
        <f>IF(AND(ISNUMBER(Z464),ISNUMBER(I464),I464&gt;0,ISNUMBER(J464)),ROUND(Z464*J464/I464,2),"")</f>
        <v>6.8</v>
      </c>
      <c r="AB464" t="s">
        <v>42</v>
      </c>
      <c r="AC464" t="s">
        <v>43</v>
      </c>
      <c r="AD464" t="s">
        <v>48</v>
      </c>
      <c r="AE464" t="s">
        <v>45</v>
      </c>
    </row>
    <row r="465">
      <c r="A465">
        <v>994208</v>
      </c>
      <c r="B465">
        <v>994208</v>
      </c>
      <c r="C465" t="s">
        <v>818</v>
      </c>
      <c r="D465" t="s">
        <v>796</v>
      </c>
      <c r="E465" t="s">
        <v>92</v>
      </c>
      <c r="F465" s="1">
        <v>2.5</v>
      </c>
      <c r="G465" s="2">
        <v>0.4</v>
      </c>
      <c r="H465" s="2">
        <v>0.512</v>
      </c>
      <c r="I465" s="1">
        <v>3.5</v>
      </c>
      <c r="J465" s="1">
        <f>IF(AND(ISNUMBER(F465),ISNUMBER(H465)),ROUND(F465*(1+H465),2),"")</f>
        <v>3.78</v>
      </c>
      <c r="K465" s="2">
        <f>IF(AND(ISNUMBER(I465),I465&gt;0,ISNUMBER(J465)),J465/I465-1,"")</f>
        <v>0.07999999999999985</v>
      </c>
      <c r="L465" t="s">
        <v>38</v>
      </c>
      <c r="M465" s="1">
        <v>3.5</v>
      </c>
      <c r="N465" s="1">
        <f>IF(AND(ISNUMBER(U465),U465&gt;0,ISNUMBER(J465)),ROUND(J465/U465,2),"")</f>
        <v>3.78</v>
      </c>
      <c r="Q465" t="s">
        <v>40</v>
      </c>
      <c r="R465" t="s">
        <v>39</v>
      </c>
      <c r="S465">
        <v>767741</v>
      </c>
      <c r="T465">
        <v>767741</v>
      </c>
      <c r="U465" s="3">
        <v>1</v>
      </c>
      <c r="X465" t="s">
        <v>41</v>
      </c>
      <c r="Z465" s="1">
        <v>3.5</v>
      </c>
      <c r="AA465" s="1">
        <f>IF(AND(ISNUMBER(Z465),ISNUMBER(I465),I465&gt;0,ISNUMBER(J465)),ROUND(Z465*J465/I465,2),"")</f>
        <v>3.78</v>
      </c>
      <c r="AB465" t="s">
        <v>42</v>
      </c>
      <c r="AC465" t="s">
        <v>43</v>
      </c>
      <c r="AD465" t="s">
        <v>48</v>
      </c>
      <c r="AE465" t="s">
        <v>45</v>
      </c>
    </row>
    <row r="466">
      <c r="A466">
        <v>805975</v>
      </c>
      <c r="B466">
        <v>805975</v>
      </c>
      <c r="C466" t="s">
        <v>819</v>
      </c>
      <c r="D466" t="s">
        <v>796</v>
      </c>
      <c r="E466" t="s">
        <v>100</v>
      </c>
      <c r="F466" s="1">
        <v>4.4</v>
      </c>
      <c r="G466" s="2">
        <v>0.4</v>
      </c>
      <c r="H466" s="2">
        <v>0.512</v>
      </c>
      <c r="I466" s="1">
        <v>6.16</v>
      </c>
      <c r="J466" s="1">
        <f>IF(AND(ISNUMBER(F466),ISNUMBER(H466)),ROUND(F466*(1+H466),2),"")</f>
        <v>6.65</v>
      </c>
      <c r="K466" s="2">
        <f>IF(AND(ISNUMBER(I466),I466&gt;0,ISNUMBER(J466)),J466/I466-1,"")</f>
        <v>0.07954545454545459</v>
      </c>
      <c r="L466" t="s">
        <v>38</v>
      </c>
      <c r="M466" s="1">
        <v>6.16</v>
      </c>
      <c r="N466" s="1">
        <f>IF(AND(ISNUMBER(U466),U466&gt;0,ISNUMBER(J466)),ROUND(J466/U466,2),"")</f>
        <v>6.65</v>
      </c>
      <c r="Q466" t="s">
        <v>40</v>
      </c>
      <c r="R466" t="s">
        <v>39</v>
      </c>
      <c r="S466">
        <v>527035</v>
      </c>
      <c r="T466">
        <v>527035</v>
      </c>
      <c r="U466" s="3">
        <v>1</v>
      </c>
      <c r="X466" t="s">
        <v>41</v>
      </c>
      <c r="Z466" s="1">
        <v>6.16</v>
      </c>
      <c r="AA466" s="1">
        <f>IF(AND(ISNUMBER(Z466),ISNUMBER(I466),I466&gt;0,ISNUMBER(J466)),ROUND(Z466*J466/I466,2),"")</f>
        <v>6.65</v>
      </c>
      <c r="AB466" t="s">
        <v>42</v>
      </c>
      <c r="AC466" t="s">
        <v>43</v>
      </c>
      <c r="AD466" t="s">
        <v>48</v>
      </c>
      <c r="AE466" t="s">
        <v>45</v>
      </c>
    </row>
    <row r="467">
      <c r="A467">
        <v>812658</v>
      </c>
      <c r="B467">
        <v>812658</v>
      </c>
      <c r="C467" t="s">
        <v>137</v>
      </c>
      <c r="D467" t="s">
        <v>796</v>
      </c>
      <c r="E467" t="s">
        <v>98</v>
      </c>
      <c r="F467" s="1">
        <v>2</v>
      </c>
      <c r="G467" s="2">
        <v>0.4</v>
      </c>
      <c r="H467" s="2">
        <v>0.512</v>
      </c>
      <c r="I467" s="1">
        <v>2.8</v>
      </c>
      <c r="J467" s="1">
        <f>IF(AND(ISNUMBER(F467),ISNUMBER(H467)),ROUND(F467*(1+H467),2),"")</f>
        <v>3.02</v>
      </c>
      <c r="K467" s="2">
        <f>IF(AND(ISNUMBER(I467),I467&gt;0,ISNUMBER(J467)),J467/I467-1,"")</f>
        <v>0.07857142857142874</v>
      </c>
      <c r="L467" t="s">
        <v>38</v>
      </c>
      <c r="N467" s="1" t="s">
        <f>IF(AND(ISNUMBER(U467),U467&gt;0,ISNUMBER(J467)),ROUND(J467/U467,2),"")</f>
        <v>39</v>
      </c>
      <c r="Q467" t="s">
        <v>40</v>
      </c>
      <c r="R467" t="s">
        <v>39</v>
      </c>
      <c r="S467">
        <v>534526</v>
      </c>
      <c r="T467">
        <v>534526</v>
      </c>
      <c r="X467" t="s">
        <v>41</v>
      </c>
      <c r="Z467" s="1">
        <v>2.8</v>
      </c>
      <c r="AA467" s="1">
        <f>IF(AND(ISNUMBER(Z467),ISNUMBER(I467),I467&gt;0,ISNUMBER(J467)),ROUND(Z467*J467/I467,2),"")</f>
        <v>3.02</v>
      </c>
      <c r="AB467" t="s">
        <v>42</v>
      </c>
      <c r="AC467" t="s">
        <v>43</v>
      </c>
      <c r="AD467" t="s">
        <v>48</v>
      </c>
      <c r="AE467" t="s">
        <v>45</v>
      </c>
    </row>
    <row r="468">
      <c r="A468">
        <v>805940</v>
      </c>
      <c r="B468">
        <v>805940</v>
      </c>
      <c r="C468" t="s">
        <v>820</v>
      </c>
      <c r="D468" t="s">
        <v>796</v>
      </c>
      <c r="E468" t="s">
        <v>821</v>
      </c>
      <c r="F468" s="1">
        <v>3.25</v>
      </c>
      <c r="G468" s="2">
        <v>0.4</v>
      </c>
      <c r="H468" s="2">
        <v>0.512</v>
      </c>
      <c r="I468" s="1">
        <v>4.55</v>
      </c>
      <c r="J468" s="1">
        <f>IF(AND(ISNUMBER(F468),ISNUMBER(H468)),ROUND(F468*(1+H468),2),"")</f>
        <v>4.91</v>
      </c>
      <c r="K468" s="2">
        <f>IF(AND(ISNUMBER(I468),I468&gt;0,ISNUMBER(J468)),J468/I468-1,"")</f>
        <v>0.07912087912087928</v>
      </c>
      <c r="L468" t="s">
        <v>38</v>
      </c>
      <c r="M468" s="1">
        <v>18.2</v>
      </c>
      <c r="N468" s="1">
        <f>IF(AND(ISNUMBER(U468),U468&gt;0,ISNUMBER(J468)),ROUND(J468/U468,2),"")</f>
        <v>19.64</v>
      </c>
      <c r="Q468" t="s">
        <v>40</v>
      </c>
      <c r="R468" t="s">
        <v>39</v>
      </c>
      <c r="S468">
        <v>527000</v>
      </c>
      <c r="T468">
        <v>527000</v>
      </c>
      <c r="U468" s="3">
        <v>0.25</v>
      </c>
      <c r="X468" t="s">
        <v>41</v>
      </c>
      <c r="Z468" s="1">
        <v>4.55</v>
      </c>
      <c r="AA468" s="1">
        <f>IF(AND(ISNUMBER(Z468),ISNUMBER(I468),I468&gt;0,ISNUMBER(J468)),ROUND(Z468*J468/I468,2),"")</f>
        <v>4.91</v>
      </c>
      <c r="AB468" t="s">
        <v>42</v>
      </c>
      <c r="AC468" t="s">
        <v>43</v>
      </c>
      <c r="AD468" t="s">
        <v>48</v>
      </c>
      <c r="AE468" t="s">
        <v>45</v>
      </c>
    </row>
    <row r="469">
      <c r="A469">
        <v>805944</v>
      </c>
      <c r="B469">
        <v>805944</v>
      </c>
      <c r="C469" t="s">
        <v>822</v>
      </c>
      <c r="D469" t="s">
        <v>796</v>
      </c>
      <c r="E469" t="s">
        <v>100</v>
      </c>
      <c r="F469" s="1">
        <v>4.5</v>
      </c>
      <c r="G469" s="2">
        <v>0.4</v>
      </c>
      <c r="H469" s="2">
        <v>0.512</v>
      </c>
      <c r="I469" s="1">
        <v>6.3</v>
      </c>
      <c r="J469" s="1">
        <f>IF(AND(ISNUMBER(F469),ISNUMBER(H469)),ROUND(F469*(1+H469),2),"")</f>
        <v>6.8</v>
      </c>
      <c r="K469" s="2">
        <f>IF(AND(ISNUMBER(I469),I469&gt;0,ISNUMBER(J469)),J469/I469-1,"")</f>
        <v>0.0793650793650793</v>
      </c>
      <c r="L469" t="s">
        <v>38</v>
      </c>
      <c r="M469" s="1">
        <v>6.3</v>
      </c>
      <c r="N469" s="1">
        <f>IF(AND(ISNUMBER(U469),U469&gt;0,ISNUMBER(J469)),ROUND(J469/U469,2),"")</f>
        <v>6.8</v>
      </c>
      <c r="Q469" t="s">
        <v>40</v>
      </c>
      <c r="R469" t="s">
        <v>39</v>
      </c>
      <c r="S469">
        <v>527004</v>
      </c>
      <c r="T469">
        <v>527004</v>
      </c>
      <c r="U469" s="3">
        <v>1</v>
      </c>
      <c r="X469" t="s">
        <v>41</v>
      </c>
      <c r="Z469" s="1">
        <v>6.3</v>
      </c>
      <c r="AA469" s="1">
        <f>IF(AND(ISNUMBER(Z469),ISNUMBER(I469),I469&gt;0,ISNUMBER(J469)),ROUND(Z469*J469/I469,2),"")</f>
        <v>6.8</v>
      </c>
      <c r="AB469" t="s">
        <v>42</v>
      </c>
      <c r="AC469" t="s">
        <v>43</v>
      </c>
      <c r="AD469" t="s">
        <v>48</v>
      </c>
      <c r="AE469" t="s">
        <v>45</v>
      </c>
    </row>
    <row r="470">
      <c r="A470">
        <v>805984</v>
      </c>
      <c r="B470">
        <v>805984</v>
      </c>
      <c r="C470" t="s">
        <v>823</v>
      </c>
      <c r="D470" t="s">
        <v>796</v>
      </c>
      <c r="E470" t="s">
        <v>133</v>
      </c>
      <c r="F470" s="1">
        <v>2.25</v>
      </c>
      <c r="G470" s="2">
        <v>0.4</v>
      </c>
      <c r="H470" s="2">
        <v>0.512</v>
      </c>
      <c r="I470" s="1">
        <v>3.15</v>
      </c>
      <c r="J470" s="1">
        <f>IF(AND(ISNUMBER(F470),ISNUMBER(H470)),ROUND(F470*(1+H470),2),"")</f>
        <v>3.4</v>
      </c>
      <c r="K470" s="2">
        <f>IF(AND(ISNUMBER(I470),I470&gt;0,ISNUMBER(J470)),J470/I470-1,"")</f>
        <v>0.0793650793650793</v>
      </c>
      <c r="L470" t="s">
        <v>38</v>
      </c>
      <c r="N470" s="1" t="s">
        <f>IF(AND(ISNUMBER(U470),U470&gt;0,ISNUMBER(J470)),ROUND(J470/U470,2),"")</f>
        <v>39</v>
      </c>
      <c r="Q470" t="s">
        <v>40</v>
      </c>
      <c r="R470" t="s">
        <v>39</v>
      </c>
      <c r="S470">
        <v>527048</v>
      </c>
      <c r="T470">
        <v>527048</v>
      </c>
      <c r="X470" t="s">
        <v>41</v>
      </c>
      <c r="Z470" s="1">
        <v>3.15</v>
      </c>
      <c r="AA470" s="1">
        <f>IF(AND(ISNUMBER(Z470),ISNUMBER(I470),I470&gt;0,ISNUMBER(J470)),ROUND(Z470*J470/I470,2),"")</f>
        <v>3.4</v>
      </c>
      <c r="AB470" t="s">
        <v>42</v>
      </c>
      <c r="AC470" t="s">
        <v>43</v>
      </c>
      <c r="AD470" t="s">
        <v>48</v>
      </c>
      <c r="AE470" t="s">
        <v>45</v>
      </c>
    </row>
    <row r="471">
      <c r="A471">
        <v>1129572</v>
      </c>
      <c r="B471">
        <v>1129572</v>
      </c>
      <c r="C471" t="s">
        <v>823</v>
      </c>
      <c r="D471" t="s">
        <v>796</v>
      </c>
      <c r="E471" t="s">
        <v>100</v>
      </c>
      <c r="F471" s="1">
        <v>2.25</v>
      </c>
      <c r="G471" s="2">
        <v>0.4</v>
      </c>
      <c r="H471" s="2">
        <v>0.512</v>
      </c>
      <c r="I471" s="1">
        <v>3.15</v>
      </c>
      <c r="J471" s="1">
        <f>IF(AND(ISNUMBER(F471),ISNUMBER(H471)),ROUND(F471*(1+H471),2),"")</f>
        <v>3.4</v>
      </c>
      <c r="K471" s="2">
        <f>IF(AND(ISNUMBER(I471),I471&gt;0,ISNUMBER(J471)),J471/I471-1,"")</f>
        <v>0.0793650793650793</v>
      </c>
      <c r="L471" t="s">
        <v>38</v>
      </c>
      <c r="M471" s="1">
        <v>3.15</v>
      </c>
      <c r="N471" s="1">
        <f>IF(AND(ISNUMBER(U471),U471&gt;0,ISNUMBER(J471)),ROUND(J471/U471,2),"")</f>
        <v>3.4</v>
      </c>
      <c r="Q471" t="s">
        <v>40</v>
      </c>
      <c r="R471" t="s">
        <v>39</v>
      </c>
      <c r="S471">
        <v>963331</v>
      </c>
      <c r="T471">
        <v>963331</v>
      </c>
      <c r="U471" s="3">
        <v>1</v>
      </c>
      <c r="X471" t="s">
        <v>41</v>
      </c>
      <c r="Z471" s="1">
        <v>3.15</v>
      </c>
      <c r="AA471" s="1">
        <f>IF(AND(ISNUMBER(Z471),ISNUMBER(I471),I471&gt;0,ISNUMBER(J471)),ROUND(Z471*J471/I471,2),"")</f>
        <v>3.4</v>
      </c>
      <c r="AB471" t="s">
        <v>42</v>
      </c>
      <c r="AC471" t="s">
        <v>43</v>
      </c>
      <c r="AD471" t="s">
        <v>48</v>
      </c>
      <c r="AE471" t="s">
        <v>45</v>
      </c>
    </row>
    <row r="472">
      <c r="A472">
        <v>1108544</v>
      </c>
      <c r="B472">
        <v>1108544</v>
      </c>
      <c r="C472" t="s">
        <v>824</v>
      </c>
      <c r="D472" t="s">
        <v>796</v>
      </c>
      <c r="E472" t="s">
        <v>98</v>
      </c>
      <c r="F472" s="1">
        <v>2.25</v>
      </c>
      <c r="G472" s="2">
        <v>0.4</v>
      </c>
      <c r="H472" s="2">
        <v>0.512</v>
      </c>
      <c r="I472" s="1">
        <v>3.15</v>
      </c>
      <c r="J472" s="1">
        <f>IF(AND(ISNUMBER(F472),ISNUMBER(H472)),ROUND(F472*(1+H472),2),"")</f>
        <v>3.4</v>
      </c>
      <c r="K472" s="2">
        <f>IF(AND(ISNUMBER(I472),I472&gt;0,ISNUMBER(J472)),J472/I472-1,"")</f>
        <v>0.0793650793650793</v>
      </c>
      <c r="L472" t="s">
        <v>38</v>
      </c>
      <c r="N472" s="1" t="s">
        <f>IF(AND(ISNUMBER(U472),U472&gt;0,ISNUMBER(J472)),ROUND(J472/U472,2),"")</f>
        <v>39</v>
      </c>
      <c r="Q472" t="s">
        <v>40</v>
      </c>
      <c r="R472" t="s">
        <v>39</v>
      </c>
      <c r="S472">
        <v>927365</v>
      </c>
      <c r="T472">
        <v>927365</v>
      </c>
      <c r="X472" t="s">
        <v>41</v>
      </c>
      <c r="Z472" s="1">
        <v>3.15</v>
      </c>
      <c r="AA472" s="1">
        <f>IF(AND(ISNUMBER(Z472),ISNUMBER(I472),I472&gt;0,ISNUMBER(J472)),ROUND(Z472*J472/I472,2),"")</f>
        <v>3.4</v>
      </c>
      <c r="AB472" t="s">
        <v>42</v>
      </c>
      <c r="AC472" t="s">
        <v>43</v>
      </c>
      <c r="AD472" t="s">
        <v>48</v>
      </c>
      <c r="AE472" t="s">
        <v>45</v>
      </c>
    </row>
    <row r="473">
      <c r="A473">
        <v>805990</v>
      </c>
      <c r="B473">
        <v>805990</v>
      </c>
      <c r="C473" t="s">
        <v>825</v>
      </c>
      <c r="D473" t="s">
        <v>796</v>
      </c>
      <c r="E473" t="s">
        <v>96</v>
      </c>
      <c r="F473" s="1">
        <v>2</v>
      </c>
      <c r="G473" s="2">
        <v>0.4</v>
      </c>
      <c r="H473" s="2">
        <v>0.512</v>
      </c>
      <c r="I473" s="1">
        <v>2.8</v>
      </c>
      <c r="J473" s="1">
        <f>IF(AND(ISNUMBER(F473),ISNUMBER(H473)),ROUND(F473*(1+H473),2),"")</f>
        <v>3.02</v>
      </c>
      <c r="K473" s="2">
        <f>IF(AND(ISNUMBER(I473),I473&gt;0,ISNUMBER(J473)),J473/I473-1,"")</f>
        <v>0.07857142857142874</v>
      </c>
      <c r="L473" t="s">
        <v>38</v>
      </c>
      <c r="N473" s="1" t="s">
        <f>IF(AND(ISNUMBER(U473),U473&gt;0,ISNUMBER(J473)),ROUND(J473/U473,2),"")</f>
        <v>39</v>
      </c>
      <c r="Q473" t="s">
        <v>40</v>
      </c>
      <c r="R473" t="s">
        <v>39</v>
      </c>
      <c r="S473">
        <v>527049</v>
      </c>
      <c r="T473">
        <v>527049</v>
      </c>
      <c r="X473" t="s">
        <v>41</v>
      </c>
      <c r="Z473" s="1">
        <v>2.8</v>
      </c>
      <c r="AA473" s="1">
        <f>IF(AND(ISNUMBER(Z473),ISNUMBER(I473),I473&gt;0,ISNUMBER(J473)),ROUND(Z473*J473/I473,2),"")</f>
        <v>3.02</v>
      </c>
      <c r="AB473" t="s">
        <v>42</v>
      </c>
      <c r="AC473" t="s">
        <v>43</v>
      </c>
      <c r="AD473" t="s">
        <v>48</v>
      </c>
      <c r="AE473" t="s">
        <v>45</v>
      </c>
    </row>
    <row r="474">
      <c r="A474">
        <v>805997</v>
      </c>
      <c r="B474">
        <v>805997</v>
      </c>
      <c r="C474" t="s">
        <v>826</v>
      </c>
      <c r="D474" t="s">
        <v>796</v>
      </c>
      <c r="E474" t="s">
        <v>96</v>
      </c>
      <c r="F474" s="1">
        <v>2</v>
      </c>
      <c r="G474" s="2">
        <v>0.4</v>
      </c>
      <c r="H474" s="2">
        <v>0.512</v>
      </c>
      <c r="I474" s="1">
        <v>2.8</v>
      </c>
      <c r="J474" s="1">
        <f>IF(AND(ISNUMBER(F474),ISNUMBER(H474)),ROUND(F474*(1+H474),2),"")</f>
        <v>3.02</v>
      </c>
      <c r="K474" s="2">
        <f>IF(AND(ISNUMBER(I474),I474&gt;0,ISNUMBER(J474)),J474/I474-1,"")</f>
        <v>0.07857142857142874</v>
      </c>
      <c r="L474" t="s">
        <v>38</v>
      </c>
      <c r="N474" s="1" t="s">
        <f>IF(AND(ISNUMBER(U474),U474&gt;0,ISNUMBER(J474)),ROUND(J474/U474,2),"")</f>
        <v>39</v>
      </c>
      <c r="Q474" t="s">
        <v>40</v>
      </c>
      <c r="R474" t="s">
        <v>39</v>
      </c>
      <c r="S474">
        <v>527057</v>
      </c>
      <c r="T474">
        <v>527057</v>
      </c>
      <c r="X474" t="s">
        <v>41</v>
      </c>
      <c r="Z474" s="1">
        <v>2.8</v>
      </c>
      <c r="AA474" s="1">
        <f>IF(AND(ISNUMBER(Z474),ISNUMBER(I474),I474&gt;0,ISNUMBER(J474)),ROUND(Z474*J474/I474,2),"")</f>
        <v>3.02</v>
      </c>
      <c r="AB474" t="s">
        <v>42</v>
      </c>
      <c r="AC474" t="s">
        <v>43</v>
      </c>
      <c r="AD474" t="s">
        <v>48</v>
      </c>
      <c r="AE474" t="s">
        <v>45</v>
      </c>
    </row>
    <row r="475">
      <c r="A475">
        <v>805876</v>
      </c>
      <c r="B475">
        <v>805876</v>
      </c>
      <c r="C475" t="s">
        <v>827</v>
      </c>
      <c r="D475" t="s">
        <v>796</v>
      </c>
      <c r="E475" t="s">
        <v>96</v>
      </c>
      <c r="F475" s="1">
        <v>3.5</v>
      </c>
      <c r="G475" s="2">
        <v>0.4</v>
      </c>
      <c r="H475" s="2">
        <v>0.512</v>
      </c>
      <c r="I475" s="1">
        <v>4.9</v>
      </c>
      <c r="J475" s="1">
        <f>IF(AND(ISNUMBER(F475),ISNUMBER(H475)),ROUND(F475*(1+H475),2),"")</f>
        <v>5.29</v>
      </c>
      <c r="K475" s="2">
        <f>IF(AND(ISNUMBER(I475),I475&gt;0,ISNUMBER(J475)),J475/I475-1,"")</f>
        <v>0.07959183673469372</v>
      </c>
      <c r="L475" t="s">
        <v>38</v>
      </c>
      <c r="N475" s="1" t="s">
        <f>IF(AND(ISNUMBER(U475),U475&gt;0,ISNUMBER(J475)),ROUND(J475/U475,2),"")</f>
        <v>39</v>
      </c>
      <c r="Q475" t="s">
        <v>40</v>
      </c>
      <c r="R475" t="s">
        <v>39</v>
      </c>
      <c r="S475">
        <v>526934</v>
      </c>
      <c r="T475">
        <v>526934</v>
      </c>
      <c r="X475" t="s">
        <v>41</v>
      </c>
      <c r="Z475" s="1">
        <v>4.9</v>
      </c>
      <c r="AA475" s="1">
        <f>IF(AND(ISNUMBER(Z475),ISNUMBER(I475),I475&gt;0,ISNUMBER(J475)),ROUND(Z475*J475/I475,2),"")</f>
        <v>5.29</v>
      </c>
      <c r="AB475" t="s">
        <v>42</v>
      </c>
      <c r="AC475" t="s">
        <v>43</v>
      </c>
      <c r="AD475" t="s">
        <v>48</v>
      </c>
      <c r="AE475" t="s">
        <v>45</v>
      </c>
    </row>
    <row r="476">
      <c r="A476">
        <v>805943</v>
      </c>
      <c r="B476">
        <v>805943</v>
      </c>
      <c r="C476" t="s">
        <v>828</v>
      </c>
      <c r="D476" t="s">
        <v>796</v>
      </c>
      <c r="E476" t="s">
        <v>100</v>
      </c>
      <c r="F476" s="1">
        <v>4</v>
      </c>
      <c r="G476" s="2">
        <v>0.4</v>
      </c>
      <c r="H476" s="2">
        <v>0.512</v>
      </c>
      <c r="I476" s="1">
        <v>5.6</v>
      </c>
      <c r="J476" s="1">
        <f>IF(AND(ISNUMBER(F476),ISNUMBER(H476)),ROUND(F476*(1+H476),2),"")</f>
        <v>6.05</v>
      </c>
      <c r="K476" s="2">
        <f>IF(AND(ISNUMBER(I476),I476&gt;0,ISNUMBER(J476)),J476/I476-1,"")</f>
        <v>0.0803571428571428</v>
      </c>
      <c r="L476" t="s">
        <v>38</v>
      </c>
      <c r="M476" s="1">
        <v>5.6</v>
      </c>
      <c r="N476" s="1">
        <f>IF(AND(ISNUMBER(U476),U476&gt;0,ISNUMBER(J476)),ROUND(J476/U476,2),"")</f>
        <v>6.05</v>
      </c>
      <c r="Q476" t="s">
        <v>40</v>
      </c>
      <c r="R476" t="s">
        <v>39</v>
      </c>
      <c r="S476">
        <v>527003</v>
      </c>
      <c r="T476">
        <v>527003</v>
      </c>
      <c r="U476" s="3">
        <v>1</v>
      </c>
      <c r="X476" t="s">
        <v>41</v>
      </c>
      <c r="Z476" s="1">
        <v>5.6</v>
      </c>
      <c r="AA476" s="1">
        <f>IF(AND(ISNUMBER(Z476),ISNUMBER(I476),I476&gt;0,ISNUMBER(J476)),ROUND(Z476*J476/I476,2),"")</f>
        <v>6.05</v>
      </c>
      <c r="AB476" t="s">
        <v>42</v>
      </c>
      <c r="AC476" t="s">
        <v>43</v>
      </c>
      <c r="AD476" t="s">
        <v>48</v>
      </c>
      <c r="AE476" t="s">
        <v>45</v>
      </c>
    </row>
    <row r="477">
      <c r="A477">
        <v>812532</v>
      </c>
      <c r="B477">
        <v>812532</v>
      </c>
      <c r="C477" t="s">
        <v>829</v>
      </c>
      <c r="D477" t="s">
        <v>796</v>
      </c>
      <c r="E477" t="s">
        <v>98</v>
      </c>
      <c r="F477" s="1">
        <v>2.3</v>
      </c>
      <c r="G477" s="2">
        <v>0.4</v>
      </c>
      <c r="H477" s="2">
        <v>0.512</v>
      </c>
      <c r="I477" s="1">
        <v>3.22</v>
      </c>
      <c r="J477" s="1">
        <f>IF(AND(ISNUMBER(F477),ISNUMBER(H477)),ROUND(F477*(1+H477),2),"")</f>
        <v>3.48</v>
      </c>
      <c r="K477" s="2">
        <f>IF(AND(ISNUMBER(I477),I477&gt;0,ISNUMBER(J477)),J477/I477-1,"")</f>
        <v>0.08074534161490665</v>
      </c>
      <c r="L477" t="s">
        <v>38</v>
      </c>
      <c r="N477" s="1" t="s">
        <f>IF(AND(ISNUMBER(U477),U477&gt;0,ISNUMBER(J477)),ROUND(J477/U477,2),"")</f>
        <v>39</v>
      </c>
      <c r="Q477" t="s">
        <v>40</v>
      </c>
      <c r="R477" t="s">
        <v>39</v>
      </c>
      <c r="S477">
        <v>534390</v>
      </c>
      <c r="T477">
        <v>534390</v>
      </c>
      <c r="X477" t="s">
        <v>41</v>
      </c>
      <c r="Z477" s="1">
        <v>3.22</v>
      </c>
      <c r="AA477" s="1">
        <f>IF(AND(ISNUMBER(Z477),ISNUMBER(I477),I477&gt;0,ISNUMBER(J477)),ROUND(Z477*J477/I477,2),"")</f>
        <v>3.48</v>
      </c>
      <c r="AB477" t="s">
        <v>42</v>
      </c>
      <c r="AC477" t="s">
        <v>43</v>
      </c>
      <c r="AD477" t="s">
        <v>44</v>
      </c>
      <c r="AE477" t="s">
        <v>45</v>
      </c>
    </row>
    <row r="478">
      <c r="A478">
        <v>1004980</v>
      </c>
      <c r="B478">
        <v>1004980</v>
      </c>
      <c r="C478" t="s">
        <v>830</v>
      </c>
      <c r="D478" t="s">
        <v>796</v>
      </c>
      <c r="E478" t="s">
        <v>96</v>
      </c>
      <c r="F478" s="1">
        <v>2</v>
      </c>
      <c r="G478" s="2">
        <v>0.4</v>
      </c>
      <c r="H478" s="2">
        <v>0.512</v>
      </c>
      <c r="I478" s="1">
        <v>2.8</v>
      </c>
      <c r="J478" s="1">
        <f>IF(AND(ISNUMBER(F478),ISNUMBER(H478)),ROUND(F478*(1+H478),2),"")</f>
        <v>3.02</v>
      </c>
      <c r="K478" s="2">
        <f>IF(AND(ISNUMBER(I478),I478&gt;0,ISNUMBER(J478)),J478/I478-1,"")</f>
        <v>0.07857142857142874</v>
      </c>
      <c r="L478" t="s">
        <v>38</v>
      </c>
      <c r="N478" s="1" t="s">
        <f>IF(AND(ISNUMBER(U478),U478&gt;0,ISNUMBER(J478)),ROUND(J478/U478,2),"")</f>
        <v>39</v>
      </c>
      <c r="Q478" t="s">
        <v>40</v>
      </c>
      <c r="R478" t="s">
        <v>39</v>
      </c>
      <c r="S478">
        <v>785188</v>
      </c>
      <c r="T478">
        <v>785188</v>
      </c>
      <c r="X478" t="s">
        <v>41</v>
      </c>
      <c r="Z478" s="1">
        <v>2.8</v>
      </c>
      <c r="AA478" s="1">
        <f>IF(AND(ISNUMBER(Z478),ISNUMBER(I478),I478&gt;0,ISNUMBER(J478)),ROUND(Z478*J478/I478,2),"")</f>
        <v>3.02</v>
      </c>
      <c r="AB478" t="s">
        <v>42</v>
      </c>
      <c r="AC478" t="s">
        <v>43</v>
      </c>
      <c r="AD478" t="s">
        <v>44</v>
      </c>
      <c r="AE478" t="s">
        <v>45</v>
      </c>
    </row>
    <row r="479">
      <c r="A479">
        <v>981427</v>
      </c>
      <c r="B479">
        <v>981427</v>
      </c>
      <c r="C479" t="s">
        <v>831</v>
      </c>
      <c r="D479" t="s">
        <v>796</v>
      </c>
      <c r="E479" t="s">
        <v>832</v>
      </c>
      <c r="F479" s="1">
        <v>4</v>
      </c>
      <c r="G479" s="2">
        <v>0.4</v>
      </c>
      <c r="H479" s="2">
        <v>0.512</v>
      </c>
      <c r="I479" s="1">
        <v>5.6</v>
      </c>
      <c r="J479" s="1">
        <f>IF(AND(ISNUMBER(F479),ISNUMBER(H479)),ROUND(F479*(1+H479),2),"")</f>
        <v>6.05</v>
      </c>
      <c r="K479" s="2">
        <f>IF(AND(ISNUMBER(I479),I479&gt;0,ISNUMBER(J479)),J479/I479-1,"")</f>
        <v>0.0803571428571428</v>
      </c>
      <c r="L479" t="s">
        <v>38</v>
      </c>
      <c r="M479" s="1">
        <v>5.6</v>
      </c>
      <c r="N479" s="1">
        <f>IF(AND(ISNUMBER(U479),U479&gt;0,ISNUMBER(J479)),ROUND(J479/U479,2),"")</f>
        <v>6.05</v>
      </c>
      <c r="Q479" t="s">
        <v>40</v>
      </c>
      <c r="R479" t="s">
        <v>39</v>
      </c>
      <c r="S479">
        <v>749860</v>
      </c>
      <c r="T479">
        <v>749860</v>
      </c>
      <c r="U479" s="3">
        <v>1</v>
      </c>
      <c r="X479" t="s">
        <v>41</v>
      </c>
      <c r="Z479" s="1">
        <v>5.6</v>
      </c>
      <c r="AA479" s="1">
        <f>IF(AND(ISNUMBER(Z479),ISNUMBER(I479),I479&gt;0,ISNUMBER(J479)),ROUND(Z479*J479/I479,2),"")</f>
        <v>6.05</v>
      </c>
      <c r="AB479" t="s">
        <v>42</v>
      </c>
      <c r="AC479" t="s">
        <v>43</v>
      </c>
      <c r="AD479" t="s">
        <v>48</v>
      </c>
      <c r="AE479" t="s">
        <v>45</v>
      </c>
    </row>
    <row r="480">
      <c r="A480">
        <v>805902</v>
      </c>
      <c r="B480">
        <v>805902</v>
      </c>
      <c r="C480" t="s">
        <v>833</v>
      </c>
      <c r="D480" t="s">
        <v>796</v>
      </c>
      <c r="E480" t="s">
        <v>96</v>
      </c>
      <c r="F480" s="1">
        <v>2</v>
      </c>
      <c r="G480" s="2">
        <v>0.4</v>
      </c>
      <c r="H480" s="2">
        <v>0.512</v>
      </c>
      <c r="I480" s="1">
        <v>2.8</v>
      </c>
      <c r="J480" s="1">
        <f>IF(AND(ISNUMBER(F480),ISNUMBER(H480)),ROUND(F480*(1+H480),2),"")</f>
        <v>3.02</v>
      </c>
      <c r="K480" s="2">
        <f>IF(AND(ISNUMBER(I480),I480&gt;0,ISNUMBER(J480)),J480/I480-1,"")</f>
        <v>0.07857142857142874</v>
      </c>
      <c r="L480" t="s">
        <v>38</v>
      </c>
      <c r="N480" s="1" t="s">
        <f>IF(AND(ISNUMBER(U480),U480&gt;0,ISNUMBER(J480)),ROUND(J480/U480,2),"")</f>
        <v>39</v>
      </c>
      <c r="Q480" t="s">
        <v>40</v>
      </c>
      <c r="R480" t="s">
        <v>39</v>
      </c>
      <c r="S480">
        <v>526960</v>
      </c>
      <c r="T480">
        <v>526960</v>
      </c>
      <c r="X480" t="s">
        <v>41</v>
      </c>
      <c r="Z480" s="1">
        <v>2.8</v>
      </c>
      <c r="AA480" s="1">
        <f>IF(AND(ISNUMBER(Z480),ISNUMBER(I480),I480&gt;0,ISNUMBER(J480)),ROUND(Z480*J480/I480,2),"")</f>
        <v>3.02</v>
      </c>
      <c r="AB480" t="s">
        <v>42</v>
      </c>
      <c r="AC480" t="s">
        <v>43</v>
      </c>
      <c r="AD480" t="s">
        <v>48</v>
      </c>
      <c r="AE480" t="s">
        <v>45</v>
      </c>
    </row>
    <row r="481">
      <c r="A481">
        <v>805977</v>
      </c>
      <c r="B481">
        <v>805977</v>
      </c>
      <c r="C481" t="s">
        <v>834</v>
      </c>
      <c r="D481" t="s">
        <v>796</v>
      </c>
      <c r="E481" t="s">
        <v>153</v>
      </c>
      <c r="F481" s="1">
        <v>4.5</v>
      </c>
      <c r="G481" s="2">
        <v>0.4</v>
      </c>
      <c r="H481" s="2">
        <v>0.512</v>
      </c>
      <c r="I481" s="1">
        <v>6.3</v>
      </c>
      <c r="J481" s="1">
        <f>IF(AND(ISNUMBER(F481),ISNUMBER(H481)),ROUND(F481*(1+H481),2),"")</f>
        <v>6.8</v>
      </c>
      <c r="K481" s="2">
        <f>IF(AND(ISNUMBER(I481),I481&gt;0,ISNUMBER(J481)),J481/I481-1,"")</f>
        <v>0.0793650793650793</v>
      </c>
      <c r="L481" t="s">
        <v>38</v>
      </c>
      <c r="M481" s="1">
        <v>12.6</v>
      </c>
      <c r="N481" s="1">
        <f>IF(AND(ISNUMBER(U481),U481&gt;0,ISNUMBER(J481)),ROUND(J481/U481,2),"")</f>
        <v>13.6</v>
      </c>
      <c r="Q481" t="s">
        <v>40</v>
      </c>
      <c r="R481" t="s">
        <v>39</v>
      </c>
      <c r="S481">
        <v>527037</v>
      </c>
      <c r="T481">
        <v>527037</v>
      </c>
      <c r="U481" s="3">
        <v>0.5</v>
      </c>
      <c r="X481" t="s">
        <v>41</v>
      </c>
      <c r="Z481" s="1">
        <v>6.3</v>
      </c>
      <c r="AA481" s="1">
        <f>IF(AND(ISNUMBER(Z481),ISNUMBER(I481),I481&gt;0,ISNUMBER(J481)),ROUND(Z481*J481/I481,2),"")</f>
        <v>6.8</v>
      </c>
      <c r="AB481" t="s">
        <v>42</v>
      </c>
      <c r="AC481" t="s">
        <v>43</v>
      </c>
      <c r="AD481" t="s">
        <v>48</v>
      </c>
      <c r="AE481" t="s">
        <v>45</v>
      </c>
    </row>
    <row r="482">
      <c r="A482">
        <v>958464</v>
      </c>
      <c r="B482">
        <v>958464</v>
      </c>
      <c r="C482" t="s">
        <v>835</v>
      </c>
      <c r="D482" t="s">
        <v>796</v>
      </c>
      <c r="E482" t="s">
        <v>96</v>
      </c>
      <c r="F482" s="1">
        <v>3.9</v>
      </c>
      <c r="G482" s="2">
        <v>0.4</v>
      </c>
      <c r="H482" s="2">
        <v>0.512</v>
      </c>
      <c r="I482" s="1">
        <v>5.46</v>
      </c>
      <c r="J482" s="1">
        <f>IF(AND(ISNUMBER(F482),ISNUMBER(H482)),ROUND(F482*(1+H482),2),"")</f>
        <v>5.9</v>
      </c>
      <c r="K482" s="2">
        <f>IF(AND(ISNUMBER(I482),I482&gt;0,ISNUMBER(J482)),J482/I482-1,"")</f>
        <v>0.08058608058608074</v>
      </c>
      <c r="L482" t="s">
        <v>38</v>
      </c>
      <c r="N482" s="1" t="s">
        <f>IF(AND(ISNUMBER(U482),U482&gt;0,ISNUMBER(J482)),ROUND(J482/U482,2),"")</f>
        <v>39</v>
      </c>
      <c r="Q482" t="s">
        <v>40</v>
      </c>
      <c r="R482" t="s">
        <v>39</v>
      </c>
      <c r="S482">
        <v>718323</v>
      </c>
      <c r="T482">
        <v>718323</v>
      </c>
      <c r="X482" t="s">
        <v>41</v>
      </c>
      <c r="Z482" s="1">
        <v>5.46</v>
      </c>
      <c r="AA482" s="1">
        <f>IF(AND(ISNUMBER(Z482),ISNUMBER(I482),I482&gt;0,ISNUMBER(J482)),ROUND(Z482*J482/I482,2),"")</f>
        <v>5.9</v>
      </c>
      <c r="AB482" t="s">
        <v>42</v>
      </c>
      <c r="AC482" t="s">
        <v>43</v>
      </c>
      <c r="AD482" t="s">
        <v>48</v>
      </c>
      <c r="AE482" t="s">
        <v>45</v>
      </c>
    </row>
    <row r="483">
      <c r="A483">
        <v>1108429</v>
      </c>
      <c r="B483">
        <v>1108429</v>
      </c>
      <c r="C483" t="s">
        <v>835</v>
      </c>
      <c r="D483" t="s">
        <v>796</v>
      </c>
      <c r="E483" t="s">
        <v>96</v>
      </c>
      <c r="F483" s="1">
        <v>4.4</v>
      </c>
      <c r="G483" s="2">
        <v>0.4</v>
      </c>
      <c r="H483" s="2">
        <v>0.512</v>
      </c>
      <c r="I483" s="1">
        <v>6.16</v>
      </c>
      <c r="J483" s="1">
        <f>IF(AND(ISNUMBER(F483),ISNUMBER(H483)),ROUND(F483*(1+H483),2),"")</f>
        <v>6.65</v>
      </c>
      <c r="K483" s="2">
        <f>IF(AND(ISNUMBER(I483),I483&gt;0,ISNUMBER(J483)),J483/I483-1,"")</f>
        <v>0.07954545454545459</v>
      </c>
      <c r="L483" t="s">
        <v>38</v>
      </c>
      <c r="N483" s="1" t="s">
        <f>IF(AND(ISNUMBER(U483),U483&gt;0,ISNUMBER(J483)),ROUND(J483/U483,2),"")</f>
        <v>39</v>
      </c>
      <c r="Q483" t="s">
        <v>40</v>
      </c>
      <c r="R483" t="s">
        <v>39</v>
      </c>
      <c r="S483">
        <v>927190</v>
      </c>
      <c r="T483">
        <v>927190</v>
      </c>
      <c r="X483" t="s">
        <v>41</v>
      </c>
      <c r="Z483" s="1">
        <v>6.16</v>
      </c>
      <c r="AA483" s="1">
        <f>IF(AND(ISNUMBER(Z483),ISNUMBER(I483),I483&gt;0,ISNUMBER(J483)),ROUND(Z483*J483/I483,2),"")</f>
        <v>6.65</v>
      </c>
      <c r="AB483" t="s">
        <v>42</v>
      </c>
      <c r="AC483" t="s">
        <v>43</v>
      </c>
      <c r="AD483" t="s">
        <v>48</v>
      </c>
      <c r="AE483" t="s">
        <v>45</v>
      </c>
    </row>
    <row r="484">
      <c r="A484">
        <v>805755</v>
      </c>
      <c r="B484">
        <v>805755</v>
      </c>
      <c r="C484" t="s">
        <v>836</v>
      </c>
      <c r="D484" t="s">
        <v>796</v>
      </c>
      <c r="E484" t="s">
        <v>100</v>
      </c>
      <c r="F484" s="1">
        <v>3</v>
      </c>
      <c r="G484" s="2">
        <v>0.4</v>
      </c>
      <c r="H484" s="2">
        <v>0.512</v>
      </c>
      <c r="I484" s="1">
        <v>4.2</v>
      </c>
      <c r="J484" s="1">
        <f>IF(AND(ISNUMBER(F484),ISNUMBER(H484)),ROUND(F484*(1+H484),2),"")</f>
        <v>4.54</v>
      </c>
      <c r="K484" s="2">
        <f>IF(AND(ISNUMBER(I484),I484&gt;0,ISNUMBER(J484)),J484/I484-1,"")</f>
        <v>0.08095238095238089</v>
      </c>
      <c r="L484" t="s">
        <v>38</v>
      </c>
      <c r="M484" s="1">
        <v>4.2</v>
      </c>
      <c r="N484" s="1">
        <f>IF(AND(ISNUMBER(U484),U484&gt;0,ISNUMBER(J484)),ROUND(J484/U484,2),"")</f>
        <v>4.54</v>
      </c>
      <c r="Q484" t="s">
        <v>40</v>
      </c>
      <c r="R484" t="s">
        <v>39</v>
      </c>
      <c r="S484">
        <v>526810</v>
      </c>
      <c r="T484">
        <v>526810</v>
      </c>
      <c r="U484" s="3">
        <v>1</v>
      </c>
      <c r="X484" t="s">
        <v>41</v>
      </c>
      <c r="Z484" s="1">
        <v>4.2</v>
      </c>
      <c r="AA484" s="1">
        <f>IF(AND(ISNUMBER(Z484),ISNUMBER(I484),I484&gt;0,ISNUMBER(J484)),ROUND(Z484*J484/I484,2),"")</f>
        <v>4.54</v>
      </c>
      <c r="AB484" t="s">
        <v>42</v>
      </c>
      <c r="AC484" t="s">
        <v>43</v>
      </c>
      <c r="AD484" t="s">
        <v>48</v>
      </c>
      <c r="AE484" t="s">
        <v>45</v>
      </c>
    </row>
    <row r="485">
      <c r="A485">
        <v>805941</v>
      </c>
      <c r="B485">
        <v>805941</v>
      </c>
      <c r="C485" t="s">
        <v>152</v>
      </c>
      <c r="D485" t="s">
        <v>796</v>
      </c>
      <c r="E485" t="s">
        <v>100</v>
      </c>
      <c r="F485" s="1">
        <v>6.5</v>
      </c>
      <c r="G485" s="2">
        <v>0.4</v>
      </c>
      <c r="H485" s="2">
        <v>0.512</v>
      </c>
      <c r="I485" s="1">
        <v>9.1</v>
      </c>
      <c r="J485" s="1">
        <f>IF(AND(ISNUMBER(F485),ISNUMBER(H485)),ROUND(F485*(1+H485),2),"")</f>
        <v>9.83</v>
      </c>
      <c r="K485" s="2">
        <f>IF(AND(ISNUMBER(I485),I485&gt;0,ISNUMBER(J485)),J485/I485-1,"")</f>
        <v>0.08021978021978038</v>
      </c>
      <c r="L485" t="s">
        <v>38</v>
      </c>
      <c r="M485" s="1">
        <v>9.1</v>
      </c>
      <c r="N485" s="1">
        <f>IF(AND(ISNUMBER(U485),U485&gt;0,ISNUMBER(J485)),ROUND(J485/U485,2),"")</f>
        <v>9.83</v>
      </c>
      <c r="Q485" t="s">
        <v>40</v>
      </c>
      <c r="R485" t="s">
        <v>39</v>
      </c>
      <c r="S485">
        <v>527001</v>
      </c>
      <c r="T485">
        <v>527001</v>
      </c>
      <c r="U485" s="3">
        <v>1</v>
      </c>
      <c r="X485" t="s">
        <v>41</v>
      </c>
      <c r="Z485" s="1">
        <v>9.1</v>
      </c>
      <c r="AA485" s="1">
        <f>IF(AND(ISNUMBER(Z485),ISNUMBER(I485),I485&gt;0,ISNUMBER(J485)),ROUND(Z485*J485/I485,2),"")</f>
        <v>9.83</v>
      </c>
      <c r="AB485" t="s">
        <v>42</v>
      </c>
      <c r="AC485" t="s">
        <v>43</v>
      </c>
      <c r="AD485" t="s">
        <v>48</v>
      </c>
      <c r="AE485" t="s">
        <v>45</v>
      </c>
    </row>
    <row r="486">
      <c r="A486">
        <v>977972</v>
      </c>
      <c r="B486">
        <v>977972</v>
      </c>
      <c r="C486" t="s">
        <v>152</v>
      </c>
      <c r="D486" t="s">
        <v>796</v>
      </c>
      <c r="E486" t="s">
        <v>194</v>
      </c>
      <c r="F486" s="1">
        <v>2.7</v>
      </c>
      <c r="G486" s="2">
        <v>0.4</v>
      </c>
      <c r="H486" s="2">
        <v>0.512</v>
      </c>
      <c r="I486" s="1">
        <v>3.78</v>
      </c>
      <c r="J486" s="1">
        <f>IF(AND(ISNUMBER(F486),ISNUMBER(H486)),ROUND(F486*(1+H486),2),"")</f>
        <v>4.08</v>
      </c>
      <c r="K486" s="2">
        <f>IF(AND(ISNUMBER(I486),I486&gt;0,ISNUMBER(J486)),J486/I486-1,"")</f>
        <v>0.07936507936507953</v>
      </c>
      <c r="L486" t="s">
        <v>38</v>
      </c>
      <c r="N486" s="1" t="s">
        <f>IF(AND(ISNUMBER(U486),U486&gt;0,ISNUMBER(J486)),ROUND(J486/U486,2),"")</f>
        <v>39</v>
      </c>
      <c r="Q486" t="s">
        <v>40</v>
      </c>
      <c r="R486" t="s">
        <v>39</v>
      </c>
      <c r="S486">
        <v>744552</v>
      </c>
      <c r="T486">
        <v>744552</v>
      </c>
      <c r="X486" t="s">
        <v>41</v>
      </c>
      <c r="Z486" s="1">
        <v>3.78</v>
      </c>
      <c r="AA486" s="1">
        <f>IF(AND(ISNUMBER(Z486),ISNUMBER(I486),I486&gt;0,ISNUMBER(J486)),ROUND(Z486*J486/I486,2),"")</f>
        <v>4.08</v>
      </c>
      <c r="AB486" t="s">
        <v>42</v>
      </c>
      <c r="AC486" t="s">
        <v>43</v>
      </c>
      <c r="AD486" t="s">
        <v>48</v>
      </c>
      <c r="AE486" t="s">
        <v>45</v>
      </c>
    </row>
    <row r="487">
      <c r="A487">
        <v>812628</v>
      </c>
      <c r="B487">
        <v>812628</v>
      </c>
      <c r="C487" t="s">
        <v>837</v>
      </c>
      <c r="D487" t="s">
        <v>796</v>
      </c>
      <c r="E487" t="s">
        <v>113</v>
      </c>
      <c r="F487" s="1">
        <v>3.4</v>
      </c>
      <c r="G487" s="2">
        <v>0.4</v>
      </c>
      <c r="H487" s="2">
        <v>0.512</v>
      </c>
      <c r="I487" s="1">
        <v>4.76</v>
      </c>
      <c r="J487" s="1">
        <f>IF(AND(ISNUMBER(F487),ISNUMBER(H487)),ROUND(F487*(1+H487),2),"")</f>
        <v>5.14</v>
      </c>
      <c r="K487" s="2">
        <f>IF(AND(ISNUMBER(I487),I487&gt;0,ISNUMBER(J487)),J487/I487-1,"")</f>
        <v>0.07983193277310918</v>
      </c>
      <c r="L487" t="s">
        <v>38</v>
      </c>
      <c r="M487" s="1">
        <v>4.76</v>
      </c>
      <c r="N487" s="1">
        <f>IF(AND(ISNUMBER(U487),U487&gt;0,ISNUMBER(J487)),ROUND(J487/U487,2),"")</f>
        <v>5.14</v>
      </c>
      <c r="Q487" t="s">
        <v>40</v>
      </c>
      <c r="R487" t="s">
        <v>39</v>
      </c>
      <c r="S487">
        <v>534496</v>
      </c>
      <c r="T487">
        <v>534496</v>
      </c>
      <c r="U487" s="3">
        <v>1</v>
      </c>
      <c r="X487" t="s">
        <v>41</v>
      </c>
      <c r="Z487" s="1">
        <v>4.76</v>
      </c>
      <c r="AA487" s="1">
        <f>IF(AND(ISNUMBER(Z487),ISNUMBER(I487),I487&gt;0,ISNUMBER(J487)),ROUND(Z487*J487/I487,2),"")</f>
        <v>5.14</v>
      </c>
      <c r="AB487" t="s">
        <v>42</v>
      </c>
      <c r="AC487" t="s">
        <v>43</v>
      </c>
      <c r="AD487" t="s">
        <v>48</v>
      </c>
      <c r="AE487" t="s">
        <v>45</v>
      </c>
    </row>
    <row r="488">
      <c r="A488">
        <v>903477</v>
      </c>
      <c r="B488">
        <v>903477</v>
      </c>
      <c r="C488" t="s">
        <v>838</v>
      </c>
      <c r="D488" t="s">
        <v>796</v>
      </c>
      <c r="E488" t="s">
        <v>136</v>
      </c>
      <c r="F488" s="1">
        <v>4.2</v>
      </c>
      <c r="G488" s="2">
        <v>0.4</v>
      </c>
      <c r="H488" s="2">
        <v>0.512</v>
      </c>
      <c r="I488" s="1">
        <v>5.88</v>
      </c>
      <c r="J488" s="1">
        <f>IF(AND(ISNUMBER(F488),ISNUMBER(H488)),ROUND(F488*(1+H488),2),"")</f>
        <v>6.35</v>
      </c>
      <c r="K488" s="2">
        <f>IF(AND(ISNUMBER(I488),I488&gt;0,ISNUMBER(J488)),J488/I488-1,"")</f>
        <v>0.07993197278911568</v>
      </c>
      <c r="L488" t="s">
        <v>38</v>
      </c>
      <c r="N488" s="1" t="s">
        <f>IF(AND(ISNUMBER(U488),U488&gt;0,ISNUMBER(J488)),ROUND(J488/U488,2),"")</f>
        <v>39</v>
      </c>
      <c r="Q488" t="s">
        <v>40</v>
      </c>
      <c r="R488" t="s">
        <v>39</v>
      </c>
      <c r="S488">
        <v>646322</v>
      </c>
      <c r="T488">
        <v>646322</v>
      </c>
      <c r="X488" t="s">
        <v>41</v>
      </c>
      <c r="Z488" s="1">
        <v>5.88</v>
      </c>
      <c r="AA488" s="1">
        <f>IF(AND(ISNUMBER(Z488),ISNUMBER(I488),I488&gt;0,ISNUMBER(J488)),ROUND(Z488*J488/I488,2),"")</f>
        <v>6.35</v>
      </c>
      <c r="AB488" t="s">
        <v>42</v>
      </c>
      <c r="AC488" t="s">
        <v>43</v>
      </c>
      <c r="AD488" t="s">
        <v>48</v>
      </c>
      <c r="AE488" t="s">
        <v>45</v>
      </c>
    </row>
    <row r="489">
      <c r="A489">
        <v>984862</v>
      </c>
      <c r="B489">
        <v>984862</v>
      </c>
      <c r="C489" t="s">
        <v>839</v>
      </c>
      <c r="D489" t="s">
        <v>796</v>
      </c>
      <c r="E489" t="s">
        <v>63</v>
      </c>
      <c r="F489" s="1">
        <v>1.1</v>
      </c>
      <c r="G489" s="2">
        <v>0.4</v>
      </c>
      <c r="H489" s="2">
        <v>0.512</v>
      </c>
      <c r="I489" s="1">
        <v>1.54</v>
      </c>
      <c r="J489" s="1">
        <f>IF(AND(ISNUMBER(F489),ISNUMBER(H489)),ROUND(F489*(1+H489),2),"")</f>
        <v>1.66</v>
      </c>
      <c r="K489" s="2">
        <f>IF(AND(ISNUMBER(I489),I489&gt;0,ISNUMBER(J489)),J489/I489-1,"")</f>
        <v>0.07792207792207795</v>
      </c>
      <c r="L489" t="s">
        <v>38</v>
      </c>
      <c r="N489" s="1" t="s">
        <f>IF(AND(ISNUMBER(U489),U489&gt;0,ISNUMBER(J489)),ROUND(J489/U489,2),"")</f>
        <v>39</v>
      </c>
      <c r="Q489" t="s">
        <v>40</v>
      </c>
      <c r="R489" t="s">
        <v>39</v>
      </c>
      <c r="S489">
        <v>754480</v>
      </c>
      <c r="T489">
        <v>754480</v>
      </c>
      <c r="X489" t="s">
        <v>41</v>
      </c>
      <c r="Z489" s="1">
        <v>1.54</v>
      </c>
      <c r="AA489" s="1">
        <f>IF(AND(ISNUMBER(Z489),ISNUMBER(I489),I489&gt;0,ISNUMBER(J489)),ROUND(Z489*J489/I489,2),"")</f>
        <v>1.66</v>
      </c>
      <c r="AB489" t="s">
        <v>42</v>
      </c>
      <c r="AC489" t="s">
        <v>43</v>
      </c>
      <c r="AD489" t="s">
        <v>48</v>
      </c>
      <c r="AE489" t="s">
        <v>45</v>
      </c>
    </row>
    <row r="490">
      <c r="A490">
        <v>805837</v>
      </c>
      <c r="B490">
        <v>805837</v>
      </c>
      <c r="C490" t="s">
        <v>840</v>
      </c>
      <c r="D490" t="s">
        <v>796</v>
      </c>
      <c r="E490" t="s">
        <v>100</v>
      </c>
      <c r="F490" s="1">
        <v>3.45</v>
      </c>
      <c r="G490" s="2">
        <v>0.4</v>
      </c>
      <c r="H490" s="2">
        <v>0.512</v>
      </c>
      <c r="I490" s="1">
        <v>4.83</v>
      </c>
      <c r="J490" s="1">
        <f>IF(AND(ISNUMBER(F490),ISNUMBER(H490)),ROUND(F490*(1+H490),2),"")</f>
        <v>5.22</v>
      </c>
      <c r="K490" s="2">
        <f>IF(AND(ISNUMBER(I490),I490&gt;0,ISNUMBER(J490)),J490/I490-1,"")</f>
        <v>0.08074534161490687</v>
      </c>
      <c r="L490" t="s">
        <v>38</v>
      </c>
      <c r="M490" s="1">
        <v>4.83</v>
      </c>
      <c r="N490" s="1">
        <f>IF(AND(ISNUMBER(U490),U490&gt;0,ISNUMBER(J490)),ROUND(J490/U490,2),"")</f>
        <v>5.22</v>
      </c>
      <c r="Q490" t="s">
        <v>40</v>
      </c>
      <c r="R490" t="s">
        <v>39</v>
      </c>
      <c r="S490">
        <v>526894</v>
      </c>
      <c r="T490">
        <v>526894</v>
      </c>
      <c r="U490" s="3">
        <v>1</v>
      </c>
      <c r="X490" t="s">
        <v>41</v>
      </c>
      <c r="Z490" s="1">
        <v>4.83</v>
      </c>
      <c r="AA490" s="1">
        <f>IF(AND(ISNUMBER(Z490),ISNUMBER(I490),I490&gt;0,ISNUMBER(J490)),ROUND(Z490*J490/I490,2),"")</f>
        <v>5.22</v>
      </c>
      <c r="AB490" t="s">
        <v>42</v>
      </c>
      <c r="AC490" t="s">
        <v>43</v>
      </c>
      <c r="AD490" t="s">
        <v>48</v>
      </c>
      <c r="AE490" t="s">
        <v>45</v>
      </c>
    </row>
    <row r="491">
      <c r="A491">
        <v>928741</v>
      </c>
      <c r="B491">
        <v>928741</v>
      </c>
      <c r="C491" t="s">
        <v>841</v>
      </c>
      <c r="D491" t="s">
        <v>842</v>
      </c>
      <c r="E491" t="s">
        <v>843</v>
      </c>
      <c r="F491" s="1">
        <v>2.5</v>
      </c>
      <c r="G491" s="2">
        <v>0.4</v>
      </c>
      <c r="H491" s="2">
        <v>0.512</v>
      </c>
      <c r="I491" s="1">
        <v>3.5</v>
      </c>
      <c r="J491" s="1">
        <f>IF(AND(ISNUMBER(F491),ISNUMBER(H491)),ROUND(F491*(1+H491),2),"")</f>
        <v>3.78</v>
      </c>
      <c r="K491" s="2">
        <f>IF(AND(ISNUMBER(I491),I491&gt;0,ISNUMBER(J491)),J491/I491-1,"")</f>
        <v>0.07999999999999985</v>
      </c>
      <c r="L491" t="s">
        <v>38</v>
      </c>
      <c r="M491" s="1">
        <v>56</v>
      </c>
      <c r="N491" s="1">
        <f>IF(AND(ISNUMBER(U491),U491&gt;0,ISNUMBER(J491)),ROUND(J491/U491,2),"")</f>
        <v>60.48</v>
      </c>
      <c r="Q491" t="s">
        <v>40</v>
      </c>
      <c r="R491" t="s">
        <v>39</v>
      </c>
      <c r="S491">
        <v>676917</v>
      </c>
      <c r="T491">
        <v>676917</v>
      </c>
      <c r="U491" s="3">
        <v>0.0625</v>
      </c>
      <c r="X491" t="s">
        <v>41</v>
      </c>
      <c r="Z491" s="1">
        <v>3.5</v>
      </c>
      <c r="AA491" s="1">
        <f>IF(AND(ISNUMBER(Z491),ISNUMBER(I491),I491&gt;0,ISNUMBER(J491)),ROUND(Z491*J491/I491,2),"")</f>
        <v>3.78</v>
      </c>
      <c r="AB491" t="s">
        <v>42</v>
      </c>
      <c r="AC491" t="s">
        <v>43</v>
      </c>
      <c r="AD491" t="s">
        <v>48</v>
      </c>
      <c r="AE491" t="s">
        <v>45</v>
      </c>
    </row>
    <row r="492">
      <c r="A492">
        <v>928741</v>
      </c>
      <c r="B492">
        <v>928741</v>
      </c>
      <c r="C492" t="s">
        <v>841</v>
      </c>
      <c r="D492" t="s">
        <v>842</v>
      </c>
      <c r="E492" t="s">
        <v>844</v>
      </c>
      <c r="F492" s="1">
        <v>5</v>
      </c>
      <c r="G492" s="2">
        <v>0.4</v>
      </c>
      <c r="H492" s="2">
        <v>0.512</v>
      </c>
      <c r="I492" s="1">
        <v>7</v>
      </c>
      <c r="J492" s="1">
        <f>IF(AND(ISNUMBER(F492),ISNUMBER(H492)),ROUND(F492*(1+H492),2),"")</f>
        <v>7.56</v>
      </c>
      <c r="K492" s="2">
        <f>IF(AND(ISNUMBER(I492),I492&gt;0,ISNUMBER(J492)),J492/I492-1,"")</f>
        <v>0.07999999999999985</v>
      </c>
      <c r="L492" t="s">
        <v>38</v>
      </c>
      <c r="M492" s="1">
        <v>56</v>
      </c>
      <c r="N492" s="1">
        <f>IF(AND(ISNUMBER(U492),U492&gt;0,ISNUMBER(J492)),ROUND(J492/U492,2),"")</f>
        <v>60.48</v>
      </c>
      <c r="Q492" t="s">
        <v>40</v>
      </c>
      <c r="R492" t="s">
        <v>39</v>
      </c>
      <c r="S492">
        <v>726764</v>
      </c>
      <c r="T492">
        <v>726764</v>
      </c>
      <c r="U492" s="3">
        <v>0.125</v>
      </c>
      <c r="X492" t="s">
        <v>41</v>
      </c>
      <c r="Z492" s="1">
        <v>7</v>
      </c>
      <c r="AA492" s="1">
        <f>IF(AND(ISNUMBER(Z492),ISNUMBER(I492),I492&gt;0,ISNUMBER(J492)),ROUND(Z492*J492/I492,2),"")</f>
        <v>7.56</v>
      </c>
      <c r="AB492" t="s">
        <v>42</v>
      </c>
      <c r="AC492" t="s">
        <v>43</v>
      </c>
      <c r="AD492" t="s">
        <v>48</v>
      </c>
      <c r="AE492" t="s">
        <v>45</v>
      </c>
    </row>
    <row r="493">
      <c r="A493">
        <v>928742</v>
      </c>
      <c r="B493">
        <v>928742</v>
      </c>
      <c r="C493" t="s">
        <v>845</v>
      </c>
      <c r="D493" t="s">
        <v>842</v>
      </c>
      <c r="E493" t="s">
        <v>843</v>
      </c>
      <c r="F493" s="1">
        <v>2.5</v>
      </c>
      <c r="G493" s="2">
        <v>0.4</v>
      </c>
      <c r="H493" s="2">
        <v>0.512</v>
      </c>
      <c r="I493" s="1">
        <v>3.5</v>
      </c>
      <c r="J493" s="1">
        <f>IF(AND(ISNUMBER(F493),ISNUMBER(H493)),ROUND(F493*(1+H493),2),"")</f>
        <v>3.78</v>
      </c>
      <c r="K493" s="2">
        <f>IF(AND(ISNUMBER(I493),I493&gt;0,ISNUMBER(J493)),J493/I493-1,"")</f>
        <v>0.07999999999999985</v>
      </c>
      <c r="L493" t="s">
        <v>38</v>
      </c>
      <c r="M493" s="1">
        <v>56</v>
      </c>
      <c r="N493" s="1">
        <f>IF(AND(ISNUMBER(U493),U493&gt;0,ISNUMBER(J493)),ROUND(J493/U493,2),"")</f>
        <v>60.48</v>
      </c>
      <c r="Q493" t="s">
        <v>40</v>
      </c>
      <c r="R493" t="s">
        <v>39</v>
      </c>
      <c r="S493">
        <v>676918</v>
      </c>
      <c r="T493">
        <v>676918</v>
      </c>
      <c r="U493" s="3">
        <v>0.0625</v>
      </c>
      <c r="X493" t="s">
        <v>41</v>
      </c>
      <c r="Z493" s="1">
        <v>3.5</v>
      </c>
      <c r="AA493" s="1">
        <f>IF(AND(ISNUMBER(Z493),ISNUMBER(I493),I493&gt;0,ISNUMBER(J493)),ROUND(Z493*J493/I493,2),"")</f>
        <v>3.78</v>
      </c>
      <c r="AB493" t="s">
        <v>42</v>
      </c>
      <c r="AC493" t="s">
        <v>43</v>
      </c>
      <c r="AD493" t="s">
        <v>48</v>
      </c>
      <c r="AE493" t="s">
        <v>45</v>
      </c>
    </row>
    <row r="494">
      <c r="A494">
        <v>928742</v>
      </c>
      <c r="B494">
        <v>928742</v>
      </c>
      <c r="C494" t="s">
        <v>845</v>
      </c>
      <c r="D494" t="s">
        <v>842</v>
      </c>
      <c r="E494" t="s">
        <v>844</v>
      </c>
      <c r="F494" s="1">
        <v>5</v>
      </c>
      <c r="G494" s="2">
        <v>0.4</v>
      </c>
      <c r="H494" s="2">
        <v>0.512</v>
      </c>
      <c r="I494" s="1">
        <v>7</v>
      </c>
      <c r="J494" s="1">
        <f>IF(AND(ISNUMBER(F494),ISNUMBER(H494)),ROUND(F494*(1+H494),2),"")</f>
        <v>7.56</v>
      </c>
      <c r="K494" s="2">
        <f>IF(AND(ISNUMBER(I494),I494&gt;0,ISNUMBER(J494)),J494/I494-1,"")</f>
        <v>0.07999999999999985</v>
      </c>
      <c r="L494" t="s">
        <v>38</v>
      </c>
      <c r="M494" s="1">
        <v>56</v>
      </c>
      <c r="N494" s="1">
        <f>IF(AND(ISNUMBER(U494),U494&gt;0,ISNUMBER(J494)),ROUND(J494/U494,2),"")</f>
        <v>60.48</v>
      </c>
      <c r="Q494" t="s">
        <v>40</v>
      </c>
      <c r="R494" t="s">
        <v>39</v>
      </c>
      <c r="S494">
        <v>726765</v>
      </c>
      <c r="T494">
        <v>726765</v>
      </c>
      <c r="U494" s="3">
        <v>0.125</v>
      </c>
      <c r="X494" t="s">
        <v>41</v>
      </c>
      <c r="Z494" s="1">
        <v>7</v>
      </c>
      <c r="AA494" s="1">
        <f>IF(AND(ISNUMBER(Z494),ISNUMBER(I494),I494&gt;0,ISNUMBER(J494)),ROUND(Z494*J494/I494,2),"")</f>
        <v>7.56</v>
      </c>
      <c r="AB494" t="s">
        <v>42</v>
      </c>
      <c r="AC494" t="s">
        <v>43</v>
      </c>
      <c r="AD494" t="s">
        <v>48</v>
      </c>
      <c r="AE494" t="s">
        <v>45</v>
      </c>
    </row>
    <row r="495">
      <c r="A495">
        <v>806080</v>
      </c>
      <c r="B495">
        <v>806080</v>
      </c>
      <c r="C495" t="s">
        <v>846</v>
      </c>
      <c r="D495" t="s">
        <v>847</v>
      </c>
      <c r="E495" t="s">
        <v>848</v>
      </c>
      <c r="F495" s="1">
        <v>4</v>
      </c>
      <c r="G495" s="2">
        <v>0.4</v>
      </c>
      <c r="H495" s="2">
        <v>0.512</v>
      </c>
      <c r="I495" s="1">
        <v>5.6</v>
      </c>
      <c r="J495" s="1">
        <f>IF(AND(ISNUMBER(F495),ISNUMBER(H495)),ROUND(F495*(1+H495),2),"")</f>
        <v>6.05</v>
      </c>
      <c r="K495" s="2">
        <f>IF(AND(ISNUMBER(I495),I495&gt;0,ISNUMBER(J495)),J495/I495-1,"")</f>
        <v>0.0803571428571428</v>
      </c>
      <c r="L495" t="s">
        <v>38</v>
      </c>
      <c r="M495" s="1">
        <v>14</v>
      </c>
      <c r="N495" s="1">
        <f>IF(AND(ISNUMBER(U495),U495&gt;0,ISNUMBER(J495)),ROUND(J495/U495,2),"")</f>
        <v>15.12</v>
      </c>
      <c r="Q495" t="s">
        <v>40</v>
      </c>
      <c r="R495" t="s">
        <v>39</v>
      </c>
      <c r="S495">
        <v>527144</v>
      </c>
      <c r="T495">
        <v>527144</v>
      </c>
      <c r="U495" s="3">
        <v>0.4</v>
      </c>
      <c r="X495" t="s">
        <v>41</v>
      </c>
      <c r="Z495" s="1">
        <v>5.6</v>
      </c>
      <c r="AA495" s="1">
        <f>IF(AND(ISNUMBER(Z495),ISNUMBER(I495),I495&gt;0,ISNUMBER(J495)),ROUND(Z495*J495/I495,2),"")</f>
        <v>6.05</v>
      </c>
      <c r="AB495" t="s">
        <v>42</v>
      </c>
      <c r="AC495" t="s">
        <v>43</v>
      </c>
      <c r="AD495" t="s">
        <v>44</v>
      </c>
      <c r="AE495" t="s">
        <v>45</v>
      </c>
    </row>
    <row r="496">
      <c r="A496">
        <v>806082</v>
      </c>
      <c r="B496">
        <v>806082</v>
      </c>
      <c r="C496" t="s">
        <v>849</v>
      </c>
      <c r="D496" t="s">
        <v>847</v>
      </c>
      <c r="E496" t="s">
        <v>850</v>
      </c>
      <c r="F496" s="1">
        <v>10</v>
      </c>
      <c r="G496" s="2">
        <v>0.4</v>
      </c>
      <c r="H496" s="2">
        <v>0.512</v>
      </c>
      <c r="I496" s="1">
        <v>14</v>
      </c>
      <c r="J496" s="1">
        <f>IF(AND(ISNUMBER(F496),ISNUMBER(H496)),ROUND(F496*(1+H496),2),"")</f>
        <v>15.12</v>
      </c>
      <c r="K496" s="2">
        <f>IF(AND(ISNUMBER(I496),I496&gt;0,ISNUMBER(J496)),J496/I496-1,"")</f>
        <v>0.07999999999999985</v>
      </c>
      <c r="L496" t="s">
        <v>38</v>
      </c>
      <c r="M496" s="1">
        <v>7</v>
      </c>
      <c r="N496" s="1">
        <f>IF(AND(ISNUMBER(U496),U496&gt;0,ISNUMBER(J496)),ROUND(J496/U496,2),"")</f>
        <v>7.56</v>
      </c>
      <c r="Q496" t="s">
        <v>40</v>
      </c>
      <c r="R496" t="s">
        <v>39</v>
      </c>
      <c r="S496">
        <v>527146</v>
      </c>
      <c r="T496">
        <v>527146</v>
      </c>
      <c r="U496" s="3">
        <v>2</v>
      </c>
      <c r="X496" t="s">
        <v>41</v>
      </c>
      <c r="Z496" s="1">
        <v>14</v>
      </c>
      <c r="AA496" s="1">
        <f>IF(AND(ISNUMBER(Z496),ISNUMBER(I496),I496&gt;0,ISNUMBER(J496)),ROUND(Z496*J496/I496,2),"")</f>
        <v>15.12</v>
      </c>
      <c r="AB496" t="s">
        <v>42</v>
      </c>
      <c r="AC496" t="s">
        <v>43</v>
      </c>
      <c r="AD496" t="s">
        <v>48</v>
      </c>
      <c r="AE496" t="s">
        <v>45</v>
      </c>
    </row>
    <row r="497">
      <c r="A497">
        <v>806100</v>
      </c>
      <c r="B497">
        <v>806100</v>
      </c>
      <c r="C497" t="s">
        <v>851</v>
      </c>
      <c r="D497" t="s">
        <v>847</v>
      </c>
      <c r="E497" t="s">
        <v>848</v>
      </c>
      <c r="F497" s="1">
        <v>4</v>
      </c>
      <c r="G497" s="2">
        <v>0.4</v>
      </c>
      <c r="H497" s="2">
        <v>0.512</v>
      </c>
      <c r="I497" s="1">
        <v>5.6</v>
      </c>
      <c r="J497" s="1">
        <f>IF(AND(ISNUMBER(F497),ISNUMBER(H497)),ROUND(F497*(1+H497),2),"")</f>
        <v>6.05</v>
      </c>
      <c r="K497" s="2">
        <f>IF(AND(ISNUMBER(I497),I497&gt;0,ISNUMBER(J497)),J497/I497-1,"")</f>
        <v>0.0803571428571428</v>
      </c>
      <c r="L497" t="s">
        <v>38</v>
      </c>
      <c r="M497" s="1">
        <v>14</v>
      </c>
      <c r="N497" s="1">
        <f>IF(AND(ISNUMBER(U497),U497&gt;0,ISNUMBER(J497)),ROUND(J497/U497,2),"")</f>
        <v>15.12</v>
      </c>
      <c r="Q497" t="s">
        <v>40</v>
      </c>
      <c r="R497" t="s">
        <v>39</v>
      </c>
      <c r="S497">
        <v>527164</v>
      </c>
      <c r="T497">
        <v>527164</v>
      </c>
      <c r="U497" s="3">
        <v>0.4</v>
      </c>
      <c r="X497" t="s">
        <v>41</v>
      </c>
      <c r="Z497" s="1">
        <v>5.6</v>
      </c>
      <c r="AA497" s="1">
        <f>IF(AND(ISNUMBER(Z497),ISNUMBER(I497),I497&gt;0,ISNUMBER(J497)),ROUND(Z497*J497/I497,2),"")</f>
        <v>6.05</v>
      </c>
      <c r="AB497" t="s">
        <v>42</v>
      </c>
      <c r="AC497" t="s">
        <v>43</v>
      </c>
      <c r="AD497" t="s">
        <v>48</v>
      </c>
      <c r="AE497" t="s">
        <v>45</v>
      </c>
    </row>
    <row r="498">
      <c r="A498">
        <v>897631</v>
      </c>
      <c r="B498">
        <v>897631</v>
      </c>
      <c r="C498" t="s">
        <v>852</v>
      </c>
      <c r="D498" t="s">
        <v>847</v>
      </c>
      <c r="E498" t="s">
        <v>853</v>
      </c>
      <c r="F498" s="1">
        <v>4.5</v>
      </c>
      <c r="G498" s="2">
        <v>0.4</v>
      </c>
      <c r="H498" s="2">
        <v>0.512</v>
      </c>
      <c r="I498" s="1">
        <v>6.3</v>
      </c>
      <c r="J498" s="1">
        <f>IF(AND(ISNUMBER(F498),ISNUMBER(H498)),ROUND(F498*(1+H498),2),"")</f>
        <v>6.8</v>
      </c>
      <c r="K498" s="2">
        <f>IF(AND(ISNUMBER(I498),I498&gt;0,ISNUMBER(J498)),J498/I498-1,"")</f>
        <v>0.0793650793650793</v>
      </c>
      <c r="L498" t="s">
        <v>38</v>
      </c>
      <c r="M498" s="1">
        <v>3.94</v>
      </c>
      <c r="N498" s="1">
        <f>IF(AND(ISNUMBER(U498),U498&gt;0,ISNUMBER(J498)),ROUND(J498/U498,2),"")</f>
        <v>4.25</v>
      </c>
      <c r="Q498" t="s">
        <v>40</v>
      </c>
      <c r="R498" t="s">
        <v>39</v>
      </c>
      <c r="S498">
        <v>638990</v>
      </c>
      <c r="T498">
        <v>638990</v>
      </c>
      <c r="U498" s="3">
        <v>1.6</v>
      </c>
      <c r="X498" t="s">
        <v>41</v>
      </c>
      <c r="Z498" s="1">
        <v>6.3</v>
      </c>
      <c r="AA498" s="1">
        <f>IF(AND(ISNUMBER(Z498),ISNUMBER(I498),I498&gt;0,ISNUMBER(J498)),ROUND(Z498*J498/I498,2),"")</f>
        <v>6.8</v>
      </c>
      <c r="AB498" t="s">
        <v>42</v>
      </c>
      <c r="AC498" t="s">
        <v>43</v>
      </c>
      <c r="AD498" t="s">
        <v>44</v>
      </c>
      <c r="AE498" t="s">
        <v>45</v>
      </c>
    </row>
    <row r="499">
      <c r="A499">
        <v>806086</v>
      </c>
      <c r="B499">
        <v>806086</v>
      </c>
      <c r="C499" t="s">
        <v>854</v>
      </c>
      <c r="D499" t="s">
        <v>847</v>
      </c>
      <c r="E499" t="s">
        <v>855</v>
      </c>
      <c r="F499" s="1">
        <v>3.33</v>
      </c>
      <c r="G499" s="2">
        <v>0.4</v>
      </c>
      <c r="H499" s="2">
        <v>0.512</v>
      </c>
      <c r="I499" s="1">
        <v>4.66</v>
      </c>
      <c r="J499" s="1">
        <f>IF(AND(ISNUMBER(F499),ISNUMBER(H499)),ROUND(F499*(1+H499),2),"")</f>
        <v>5.03</v>
      </c>
      <c r="K499" s="2">
        <f>IF(AND(ISNUMBER(I499),I499&gt;0,ISNUMBER(J499)),J499/I499-1,"")</f>
        <v>0.07939914163090123</v>
      </c>
      <c r="L499" t="s">
        <v>38</v>
      </c>
      <c r="M499" s="1">
        <v>9.32</v>
      </c>
      <c r="N499" s="1">
        <f>IF(AND(ISNUMBER(U499),U499&gt;0,ISNUMBER(J499)),ROUND(J499/U499,2),"")</f>
        <v>10.06</v>
      </c>
      <c r="Q499" t="s">
        <v>40</v>
      </c>
      <c r="R499" t="s">
        <v>39</v>
      </c>
      <c r="S499">
        <v>527150</v>
      </c>
      <c r="T499">
        <v>527150</v>
      </c>
      <c r="U499" s="3">
        <v>0.5</v>
      </c>
      <c r="X499" t="s">
        <v>41</v>
      </c>
      <c r="Z499" s="1">
        <v>4.66</v>
      </c>
      <c r="AA499" s="1">
        <f>IF(AND(ISNUMBER(Z499),ISNUMBER(I499),I499&gt;0,ISNUMBER(J499)),ROUND(Z499*J499/I499,2),"")</f>
        <v>5.03</v>
      </c>
      <c r="AB499" t="s">
        <v>42</v>
      </c>
      <c r="AC499" t="s">
        <v>43</v>
      </c>
      <c r="AD499" t="s">
        <v>48</v>
      </c>
      <c r="AE499" t="s">
        <v>45</v>
      </c>
    </row>
    <row r="500">
      <c r="A500">
        <v>897629</v>
      </c>
      <c r="B500">
        <v>897629</v>
      </c>
      <c r="C500" t="s">
        <v>856</v>
      </c>
      <c r="D500" t="s">
        <v>847</v>
      </c>
      <c r="E500" t="s">
        <v>857</v>
      </c>
      <c r="F500" s="1">
        <v>4.5</v>
      </c>
      <c r="G500" s="2">
        <v>0.4</v>
      </c>
      <c r="H500" s="2">
        <v>0.512</v>
      </c>
      <c r="I500" s="1">
        <v>6.3</v>
      </c>
      <c r="J500" s="1">
        <f>IF(AND(ISNUMBER(F500),ISNUMBER(H500)),ROUND(F500*(1+H500),2),"")</f>
        <v>6.8</v>
      </c>
      <c r="K500" s="2">
        <f>IF(AND(ISNUMBER(I500),I500&gt;0,ISNUMBER(J500)),J500/I500-1,"")</f>
        <v>0.0793650793650793</v>
      </c>
      <c r="L500" t="s">
        <v>38</v>
      </c>
      <c r="M500" s="1">
        <v>5.04</v>
      </c>
      <c r="N500" s="1">
        <f>IF(AND(ISNUMBER(U500),U500&gt;0,ISNUMBER(J500)),ROUND(J500/U500,2),"")</f>
        <v>5.44</v>
      </c>
      <c r="Q500" t="s">
        <v>40</v>
      </c>
      <c r="R500" t="s">
        <v>39</v>
      </c>
      <c r="S500">
        <v>638988</v>
      </c>
      <c r="T500">
        <v>638988</v>
      </c>
      <c r="U500" s="3">
        <v>1.25</v>
      </c>
      <c r="X500" t="s">
        <v>41</v>
      </c>
      <c r="Z500" s="1">
        <v>6.3</v>
      </c>
      <c r="AA500" s="1">
        <f>IF(AND(ISNUMBER(Z500),ISNUMBER(I500),I500&gt;0,ISNUMBER(J500)),ROUND(Z500*J500/I500,2),"")</f>
        <v>6.8</v>
      </c>
      <c r="AB500" t="s">
        <v>42</v>
      </c>
      <c r="AC500" t="s">
        <v>43</v>
      </c>
      <c r="AD500" t="s">
        <v>44</v>
      </c>
      <c r="AE500" t="s">
        <v>45</v>
      </c>
    </row>
    <row r="501">
      <c r="A501">
        <v>806090</v>
      </c>
      <c r="B501">
        <v>806090</v>
      </c>
      <c r="C501" t="s">
        <v>858</v>
      </c>
      <c r="D501" t="s">
        <v>847</v>
      </c>
      <c r="E501" t="s">
        <v>848</v>
      </c>
      <c r="F501" s="1">
        <v>4</v>
      </c>
      <c r="G501" s="2">
        <v>0.4</v>
      </c>
      <c r="H501" s="2">
        <v>0.512</v>
      </c>
      <c r="I501" s="1">
        <v>5.6</v>
      </c>
      <c r="J501" s="1">
        <f>IF(AND(ISNUMBER(F501),ISNUMBER(H501)),ROUND(F501*(1+H501),2),"")</f>
        <v>6.05</v>
      </c>
      <c r="K501" s="2">
        <f>IF(AND(ISNUMBER(I501),I501&gt;0,ISNUMBER(J501)),J501/I501-1,"")</f>
        <v>0.0803571428571428</v>
      </c>
      <c r="L501" t="s">
        <v>38</v>
      </c>
      <c r="M501" s="1">
        <v>14</v>
      </c>
      <c r="N501" s="1">
        <f>IF(AND(ISNUMBER(U501),U501&gt;0,ISNUMBER(J501)),ROUND(J501/U501,2),"")</f>
        <v>15.12</v>
      </c>
      <c r="Q501" t="s">
        <v>40</v>
      </c>
      <c r="R501" t="s">
        <v>39</v>
      </c>
      <c r="S501">
        <v>527154</v>
      </c>
      <c r="T501">
        <v>527154</v>
      </c>
      <c r="U501" s="3">
        <v>0.4</v>
      </c>
      <c r="X501" t="s">
        <v>41</v>
      </c>
      <c r="Z501" s="1">
        <v>5.6</v>
      </c>
      <c r="AA501" s="1">
        <f>IF(AND(ISNUMBER(Z501),ISNUMBER(I501),I501&gt;0,ISNUMBER(J501)),ROUND(Z501*J501/I501,2),"")</f>
        <v>6.05</v>
      </c>
      <c r="AB501" t="s">
        <v>42</v>
      </c>
      <c r="AC501" t="s">
        <v>43</v>
      </c>
      <c r="AD501" t="s">
        <v>44</v>
      </c>
      <c r="AE501" t="s">
        <v>45</v>
      </c>
    </row>
    <row r="502">
      <c r="A502">
        <v>806093</v>
      </c>
      <c r="B502">
        <v>806093</v>
      </c>
      <c r="C502" t="s">
        <v>859</v>
      </c>
      <c r="D502" t="s">
        <v>847</v>
      </c>
      <c r="E502" t="s">
        <v>848</v>
      </c>
      <c r="F502" s="1">
        <v>4</v>
      </c>
      <c r="G502" s="2">
        <v>0.4</v>
      </c>
      <c r="H502" s="2">
        <v>0.512</v>
      </c>
      <c r="I502" s="1">
        <v>5.6</v>
      </c>
      <c r="J502" s="1">
        <f>IF(AND(ISNUMBER(F502),ISNUMBER(H502)),ROUND(F502*(1+H502),2),"")</f>
        <v>6.05</v>
      </c>
      <c r="K502" s="2">
        <f>IF(AND(ISNUMBER(I502),I502&gt;0,ISNUMBER(J502)),J502/I502-1,"")</f>
        <v>0.0803571428571428</v>
      </c>
      <c r="L502" t="s">
        <v>38</v>
      </c>
      <c r="M502" s="1">
        <v>14</v>
      </c>
      <c r="N502" s="1">
        <f>IF(AND(ISNUMBER(U502),U502&gt;0,ISNUMBER(J502)),ROUND(J502/U502,2),"")</f>
        <v>15.12</v>
      </c>
      <c r="Q502" t="s">
        <v>40</v>
      </c>
      <c r="R502" t="s">
        <v>39</v>
      </c>
      <c r="S502">
        <v>527157</v>
      </c>
      <c r="T502">
        <v>527157</v>
      </c>
      <c r="U502" s="3">
        <v>0.4</v>
      </c>
      <c r="X502" t="s">
        <v>41</v>
      </c>
      <c r="Z502" s="1">
        <v>5.6</v>
      </c>
      <c r="AA502" s="1">
        <f>IF(AND(ISNUMBER(Z502),ISNUMBER(I502),I502&gt;0,ISNUMBER(J502)),ROUND(Z502*J502/I502,2),"")</f>
        <v>6.05</v>
      </c>
      <c r="AB502" t="s">
        <v>42</v>
      </c>
      <c r="AC502" t="s">
        <v>43</v>
      </c>
      <c r="AD502" t="s">
        <v>44</v>
      </c>
      <c r="AE502" t="s">
        <v>45</v>
      </c>
    </row>
    <row r="503">
      <c r="A503">
        <v>806096</v>
      </c>
      <c r="B503">
        <v>806096</v>
      </c>
      <c r="C503" t="s">
        <v>860</v>
      </c>
      <c r="D503" t="s">
        <v>847</v>
      </c>
      <c r="E503" t="s">
        <v>848</v>
      </c>
      <c r="F503" s="1">
        <v>4</v>
      </c>
      <c r="G503" s="2">
        <v>0.4</v>
      </c>
      <c r="H503" s="2">
        <v>0.512</v>
      </c>
      <c r="I503" s="1">
        <v>5.6</v>
      </c>
      <c r="J503" s="1">
        <f>IF(AND(ISNUMBER(F503),ISNUMBER(H503)),ROUND(F503*(1+H503),2),"")</f>
        <v>6.05</v>
      </c>
      <c r="K503" s="2">
        <f>IF(AND(ISNUMBER(I503),I503&gt;0,ISNUMBER(J503)),J503/I503-1,"")</f>
        <v>0.0803571428571428</v>
      </c>
      <c r="L503" t="s">
        <v>38</v>
      </c>
      <c r="M503" s="1">
        <v>14</v>
      </c>
      <c r="N503" s="1">
        <f>IF(AND(ISNUMBER(U503),U503&gt;0,ISNUMBER(J503)),ROUND(J503/U503,2),"")</f>
        <v>15.12</v>
      </c>
      <c r="Q503" t="s">
        <v>40</v>
      </c>
      <c r="R503" t="s">
        <v>39</v>
      </c>
      <c r="S503">
        <v>527159</v>
      </c>
      <c r="T503">
        <v>527159</v>
      </c>
      <c r="U503" s="3">
        <v>0.4</v>
      </c>
      <c r="X503" t="s">
        <v>41</v>
      </c>
      <c r="Z503" s="1">
        <v>5.6</v>
      </c>
      <c r="AA503" s="1">
        <f>IF(AND(ISNUMBER(Z503),ISNUMBER(I503),I503&gt;0,ISNUMBER(J503)),ROUND(Z503*J503/I503,2),"")</f>
        <v>6.05</v>
      </c>
      <c r="AB503" t="s">
        <v>42</v>
      </c>
      <c r="AC503" t="s">
        <v>43</v>
      </c>
      <c r="AD503" t="s">
        <v>44</v>
      </c>
      <c r="AE503" t="s">
        <v>45</v>
      </c>
    </row>
    <row r="504">
      <c r="A504">
        <v>806088</v>
      </c>
      <c r="B504">
        <v>806088</v>
      </c>
      <c r="C504" t="s">
        <v>861</v>
      </c>
      <c r="D504" t="s">
        <v>847</v>
      </c>
      <c r="E504" t="s">
        <v>855</v>
      </c>
      <c r="F504" s="1">
        <v>4</v>
      </c>
      <c r="G504" s="2">
        <v>0.4</v>
      </c>
      <c r="H504" s="2">
        <v>0.512</v>
      </c>
      <c r="I504" s="1">
        <v>5.6</v>
      </c>
      <c r="J504" s="1">
        <f>IF(AND(ISNUMBER(F504),ISNUMBER(H504)),ROUND(F504*(1+H504),2),"")</f>
        <v>6.05</v>
      </c>
      <c r="K504" s="2">
        <f>IF(AND(ISNUMBER(I504),I504&gt;0,ISNUMBER(J504)),J504/I504-1,"")</f>
        <v>0.0803571428571428</v>
      </c>
      <c r="L504" t="s">
        <v>38</v>
      </c>
      <c r="M504" s="1">
        <v>11.2</v>
      </c>
      <c r="N504" s="1">
        <f>IF(AND(ISNUMBER(U504),U504&gt;0,ISNUMBER(J504)),ROUND(J504/U504,2),"")</f>
        <v>12.1</v>
      </c>
      <c r="Q504" t="s">
        <v>40</v>
      </c>
      <c r="R504" t="s">
        <v>39</v>
      </c>
      <c r="S504">
        <v>527152</v>
      </c>
      <c r="T504">
        <v>527152</v>
      </c>
      <c r="U504" s="3">
        <v>0.5</v>
      </c>
      <c r="X504" t="s">
        <v>41</v>
      </c>
      <c r="Z504" s="1">
        <v>5.6</v>
      </c>
      <c r="AA504" s="1">
        <f>IF(AND(ISNUMBER(Z504),ISNUMBER(I504),I504&gt;0,ISNUMBER(J504)),ROUND(Z504*J504/I504,2),"")</f>
        <v>6.05</v>
      </c>
      <c r="AB504" t="s">
        <v>42</v>
      </c>
      <c r="AC504" t="s">
        <v>43</v>
      </c>
      <c r="AD504" t="s">
        <v>44</v>
      </c>
      <c r="AE504" t="s">
        <v>45</v>
      </c>
    </row>
    <row r="505">
      <c r="A505">
        <v>806097</v>
      </c>
      <c r="B505">
        <v>806097</v>
      </c>
      <c r="C505" t="s">
        <v>862</v>
      </c>
      <c r="D505" t="s">
        <v>847</v>
      </c>
      <c r="E505" t="s">
        <v>848</v>
      </c>
      <c r="F505" s="1">
        <v>4</v>
      </c>
      <c r="G505" s="2">
        <v>0.4</v>
      </c>
      <c r="H505" s="2">
        <v>0.512</v>
      </c>
      <c r="I505" s="1">
        <v>5.6</v>
      </c>
      <c r="J505" s="1">
        <f>IF(AND(ISNUMBER(F505),ISNUMBER(H505)),ROUND(F505*(1+H505),2),"")</f>
        <v>6.05</v>
      </c>
      <c r="K505" s="2">
        <f>IF(AND(ISNUMBER(I505),I505&gt;0,ISNUMBER(J505)),J505/I505-1,"")</f>
        <v>0.0803571428571428</v>
      </c>
      <c r="L505" t="s">
        <v>38</v>
      </c>
      <c r="M505" s="1">
        <v>14</v>
      </c>
      <c r="N505" s="1">
        <f>IF(AND(ISNUMBER(U505),U505&gt;0,ISNUMBER(J505)),ROUND(J505/U505,2),"")</f>
        <v>15.12</v>
      </c>
      <c r="Q505" t="s">
        <v>40</v>
      </c>
      <c r="R505" t="s">
        <v>39</v>
      </c>
      <c r="S505">
        <v>527161</v>
      </c>
      <c r="T505">
        <v>527161</v>
      </c>
      <c r="U505" s="3">
        <v>0.4</v>
      </c>
      <c r="X505" t="s">
        <v>41</v>
      </c>
      <c r="Z505" s="1">
        <v>5.6</v>
      </c>
      <c r="AA505" s="1">
        <f>IF(AND(ISNUMBER(Z505),ISNUMBER(I505),I505&gt;0,ISNUMBER(J505)),ROUND(Z505*J505/I505,2),"")</f>
        <v>6.05</v>
      </c>
      <c r="AB505" t="s">
        <v>42</v>
      </c>
      <c r="AC505" t="s">
        <v>43</v>
      </c>
      <c r="AD505" t="s">
        <v>48</v>
      </c>
      <c r="AE505" t="s">
        <v>45</v>
      </c>
    </row>
    <row r="506">
      <c r="A506">
        <v>806102</v>
      </c>
      <c r="B506">
        <v>806102</v>
      </c>
      <c r="C506" t="s">
        <v>863</v>
      </c>
      <c r="D506" t="s">
        <v>847</v>
      </c>
      <c r="E506" t="s">
        <v>853</v>
      </c>
      <c r="F506" s="1">
        <v>5.33</v>
      </c>
      <c r="G506" s="2">
        <v>0.4</v>
      </c>
      <c r="H506" s="2">
        <v>0.512</v>
      </c>
      <c r="I506" s="1">
        <v>7.46</v>
      </c>
      <c r="J506" s="1">
        <f>IF(AND(ISNUMBER(F506),ISNUMBER(H506)),ROUND(F506*(1+H506),2),"")</f>
        <v>8.06</v>
      </c>
      <c r="K506" s="2">
        <f>IF(AND(ISNUMBER(I506),I506&gt;0,ISNUMBER(J506)),J506/I506-1,"")</f>
        <v>0.08042895442359255</v>
      </c>
      <c r="L506" t="s">
        <v>38</v>
      </c>
      <c r="M506" s="1">
        <v>4.66</v>
      </c>
      <c r="N506" s="1">
        <f>IF(AND(ISNUMBER(U506),U506&gt;0,ISNUMBER(J506)),ROUND(J506/U506,2),"")</f>
        <v>5.04</v>
      </c>
      <c r="Q506" t="s">
        <v>40</v>
      </c>
      <c r="R506" t="s">
        <v>39</v>
      </c>
      <c r="S506">
        <v>527166</v>
      </c>
      <c r="T506">
        <v>527166</v>
      </c>
      <c r="U506" s="3">
        <v>1.6</v>
      </c>
      <c r="X506" t="s">
        <v>41</v>
      </c>
      <c r="Z506" s="1">
        <v>7.46</v>
      </c>
      <c r="AA506" s="1">
        <f>IF(AND(ISNUMBER(Z506),ISNUMBER(I506),I506&gt;0,ISNUMBER(J506)),ROUND(Z506*J506/I506,2),"")</f>
        <v>8.06</v>
      </c>
      <c r="AB506" t="s">
        <v>42</v>
      </c>
      <c r="AC506" t="s">
        <v>43</v>
      </c>
      <c r="AD506" t="s">
        <v>44</v>
      </c>
      <c r="AE506" t="s">
        <v>45</v>
      </c>
    </row>
    <row r="507">
      <c r="A507">
        <v>806104</v>
      </c>
      <c r="B507">
        <v>806104</v>
      </c>
      <c r="C507" t="s">
        <v>864</v>
      </c>
      <c r="D507" t="s">
        <v>847</v>
      </c>
      <c r="E507" t="s">
        <v>853</v>
      </c>
      <c r="F507" s="1">
        <v>5.33</v>
      </c>
      <c r="G507" s="2">
        <v>0.4</v>
      </c>
      <c r="H507" s="2">
        <v>0.512</v>
      </c>
      <c r="I507" s="1">
        <v>7.46</v>
      </c>
      <c r="J507" s="1">
        <f>IF(AND(ISNUMBER(F507),ISNUMBER(H507)),ROUND(F507*(1+H507),2),"")</f>
        <v>8.06</v>
      </c>
      <c r="K507" s="2">
        <f>IF(AND(ISNUMBER(I507),I507&gt;0,ISNUMBER(J507)),J507/I507-1,"")</f>
        <v>0.08042895442359255</v>
      </c>
      <c r="L507" t="s">
        <v>38</v>
      </c>
      <c r="M507" s="1">
        <v>4.66</v>
      </c>
      <c r="N507" s="1">
        <f>IF(AND(ISNUMBER(U507),U507&gt;0,ISNUMBER(J507)),ROUND(J507/U507,2),"")</f>
        <v>5.04</v>
      </c>
      <c r="Q507" t="s">
        <v>40</v>
      </c>
      <c r="R507" t="s">
        <v>39</v>
      </c>
      <c r="S507">
        <v>527168</v>
      </c>
      <c r="T507">
        <v>527168</v>
      </c>
      <c r="U507" s="3">
        <v>1.6</v>
      </c>
      <c r="X507" t="s">
        <v>41</v>
      </c>
      <c r="Z507" s="1">
        <v>7.46</v>
      </c>
      <c r="AA507" s="1">
        <f>IF(AND(ISNUMBER(Z507),ISNUMBER(I507),I507&gt;0,ISNUMBER(J507)),ROUND(Z507*J507/I507,2),"")</f>
        <v>8.06</v>
      </c>
      <c r="AB507" t="s">
        <v>42</v>
      </c>
      <c r="AC507" t="s">
        <v>43</v>
      </c>
      <c r="AD507" t="s">
        <v>44</v>
      </c>
      <c r="AE507" t="s">
        <v>45</v>
      </c>
    </row>
    <row r="508">
      <c r="A508">
        <v>1157459</v>
      </c>
      <c r="B508">
        <v>1157459</v>
      </c>
      <c r="C508" t="s">
        <v>865</v>
      </c>
      <c r="D508" t="s">
        <v>866</v>
      </c>
      <c r="E508" t="s">
        <v>100</v>
      </c>
      <c r="F508" s="1">
        <v>2</v>
      </c>
      <c r="G508" s="2">
        <v>0.4</v>
      </c>
      <c r="I508" s="1">
        <v>2.8</v>
      </c>
      <c r="J508" s="1" t="s">
        <f>IF(AND(ISNUMBER(F508),ISNUMBER(H508)),ROUND(F508*(1+H508),2),"")</f>
        <v>39</v>
      </c>
      <c r="K508" s="2" t="s">
        <f>IF(AND(ISNUMBER(I508),I508&gt;0,ISNUMBER(J508)),J508/I508-1,"")</f>
        <v>39</v>
      </c>
      <c r="L508" t="s">
        <v>38</v>
      </c>
      <c r="M508" s="1">
        <v>2.8</v>
      </c>
      <c r="N508" s="1" t="s">
        <f>IF(AND(ISNUMBER(U508),U508&gt;0,ISNUMBER(J508)),ROUND(J508/U508,2),"")</f>
        <v>39</v>
      </c>
      <c r="Q508" t="s">
        <v>166</v>
      </c>
      <c r="R508" t="s">
        <v>39</v>
      </c>
      <c r="S508">
        <v>1001260</v>
      </c>
      <c r="T508">
        <v>1001260</v>
      </c>
      <c r="U508" s="3">
        <v>1</v>
      </c>
      <c r="X508" t="s">
        <v>41</v>
      </c>
      <c r="Z508" s="1">
        <v>2.8</v>
      </c>
      <c r="AA508" s="1" t="s">
        <f>IF(AND(ISNUMBER(Z508),ISNUMBER(I508),I508&gt;0,ISNUMBER(J508)),ROUND(Z508*J508/I508,2),"")</f>
        <v>39</v>
      </c>
      <c r="AB508" t="s">
        <v>42</v>
      </c>
      <c r="AC508" t="s">
        <v>867</v>
      </c>
      <c r="AD508" t="s">
        <v>44</v>
      </c>
      <c r="AE508" t="s">
        <v>45</v>
      </c>
    </row>
    <row r="509">
      <c r="A509">
        <v>805903</v>
      </c>
      <c r="B509">
        <v>805903</v>
      </c>
      <c r="C509" t="s">
        <v>868</v>
      </c>
      <c r="D509" t="s">
        <v>866</v>
      </c>
      <c r="E509" t="s">
        <v>100</v>
      </c>
      <c r="F509" s="1">
        <v>3.5</v>
      </c>
      <c r="G509" s="2">
        <v>0.4</v>
      </c>
      <c r="I509" s="1">
        <v>4.9</v>
      </c>
      <c r="J509" s="1" t="s">
        <f>IF(AND(ISNUMBER(F509),ISNUMBER(H509)),ROUND(F509*(1+H509),2),"")</f>
        <v>39</v>
      </c>
      <c r="K509" s="2" t="s">
        <f>IF(AND(ISNUMBER(I509),I509&gt;0,ISNUMBER(J509)),J509/I509-1,"")</f>
        <v>39</v>
      </c>
      <c r="L509" t="s">
        <v>38</v>
      </c>
      <c r="M509" s="1">
        <v>4.9</v>
      </c>
      <c r="N509" s="1" t="s">
        <f>IF(AND(ISNUMBER(U509),U509&gt;0,ISNUMBER(J509)),ROUND(J509/U509,2),"")</f>
        <v>39</v>
      </c>
      <c r="Q509" t="s">
        <v>166</v>
      </c>
      <c r="R509" t="s">
        <v>39</v>
      </c>
      <c r="S509">
        <v>526961</v>
      </c>
      <c r="T509">
        <v>526961</v>
      </c>
      <c r="U509" s="3">
        <v>1</v>
      </c>
      <c r="X509" t="s">
        <v>41</v>
      </c>
      <c r="Z509" s="1">
        <v>4.9</v>
      </c>
      <c r="AA509" s="1" t="s">
        <f>IF(AND(ISNUMBER(Z509),ISNUMBER(I509),I509&gt;0,ISNUMBER(J509)),ROUND(Z509*J509/I509,2),"")</f>
        <v>39</v>
      </c>
      <c r="AB509" t="s">
        <v>42</v>
      </c>
      <c r="AC509" t="s">
        <v>867</v>
      </c>
      <c r="AD509" t="s">
        <v>44</v>
      </c>
      <c r="AE509" t="s">
        <v>45</v>
      </c>
    </row>
    <row r="510">
      <c r="A510">
        <v>1148845</v>
      </c>
      <c r="B510">
        <v>1148845</v>
      </c>
      <c r="C510" t="s">
        <v>869</v>
      </c>
      <c r="D510" t="s">
        <v>866</v>
      </c>
      <c r="E510" t="s">
        <v>100</v>
      </c>
      <c r="F510" s="1">
        <v>3</v>
      </c>
      <c r="G510" s="2">
        <v>0.4</v>
      </c>
      <c r="I510" s="1">
        <v>4.2</v>
      </c>
      <c r="J510" s="1" t="s">
        <f>IF(AND(ISNUMBER(F510),ISNUMBER(H510)),ROUND(F510*(1+H510),2),"")</f>
        <v>39</v>
      </c>
      <c r="K510" s="2" t="s">
        <f>IF(AND(ISNUMBER(I510),I510&gt;0,ISNUMBER(J510)),J510/I510-1,"")</f>
        <v>39</v>
      </c>
      <c r="L510" t="s">
        <v>38</v>
      </c>
      <c r="M510" s="1">
        <v>4.2</v>
      </c>
      <c r="N510" s="1" t="s">
        <f>IF(AND(ISNUMBER(U510),U510&gt;0,ISNUMBER(J510)),ROUND(J510/U510,2),"")</f>
        <v>39</v>
      </c>
      <c r="Q510" t="s">
        <v>166</v>
      </c>
      <c r="R510" t="s">
        <v>39</v>
      </c>
      <c r="S510">
        <v>989644</v>
      </c>
      <c r="T510">
        <v>989644</v>
      </c>
      <c r="U510" s="3">
        <v>1</v>
      </c>
      <c r="X510" t="s">
        <v>41</v>
      </c>
      <c r="Z510" s="1">
        <v>4.2</v>
      </c>
      <c r="AA510" s="1" t="s">
        <f>IF(AND(ISNUMBER(Z510),ISNUMBER(I510),I510&gt;0,ISNUMBER(J510)),ROUND(Z510*J510/I510,2),"")</f>
        <v>39</v>
      </c>
      <c r="AB510" t="s">
        <v>42</v>
      </c>
      <c r="AC510" t="s">
        <v>867</v>
      </c>
      <c r="AD510" t="s">
        <v>48</v>
      </c>
      <c r="AE510" t="s">
        <v>45</v>
      </c>
    </row>
    <row r="511">
      <c r="A511">
        <v>1157457</v>
      </c>
      <c r="B511">
        <v>1157457</v>
      </c>
      <c r="C511" t="s">
        <v>870</v>
      </c>
      <c r="D511" t="s">
        <v>866</v>
      </c>
      <c r="E511" t="s">
        <v>100</v>
      </c>
      <c r="F511" s="1">
        <v>1.5</v>
      </c>
      <c r="G511" s="2">
        <v>0.4</v>
      </c>
      <c r="I511" s="1">
        <v>2.1</v>
      </c>
      <c r="J511" s="1" t="s">
        <f>IF(AND(ISNUMBER(F511),ISNUMBER(H511)),ROUND(F511*(1+H511),2),"")</f>
        <v>39</v>
      </c>
      <c r="K511" s="2" t="s">
        <f>IF(AND(ISNUMBER(I511),I511&gt;0,ISNUMBER(J511)),J511/I511-1,"")</f>
        <v>39</v>
      </c>
      <c r="L511" t="s">
        <v>38</v>
      </c>
      <c r="M511" s="1">
        <v>2.1</v>
      </c>
      <c r="N511" s="1" t="s">
        <f>IF(AND(ISNUMBER(U511),U511&gt;0,ISNUMBER(J511)),ROUND(J511/U511,2),"")</f>
        <v>39</v>
      </c>
      <c r="Q511" t="s">
        <v>166</v>
      </c>
      <c r="R511" t="s">
        <v>39</v>
      </c>
      <c r="S511">
        <v>1001258</v>
      </c>
      <c r="T511">
        <v>1001258</v>
      </c>
      <c r="U511" s="3">
        <v>1</v>
      </c>
      <c r="X511" t="s">
        <v>41</v>
      </c>
      <c r="Z511" s="1">
        <v>2.1</v>
      </c>
      <c r="AA511" s="1" t="s">
        <f>IF(AND(ISNUMBER(Z511),ISNUMBER(I511),I511&gt;0,ISNUMBER(J511)),ROUND(Z511*J511/I511,2),"")</f>
        <v>39</v>
      </c>
      <c r="AB511" t="s">
        <v>42</v>
      </c>
      <c r="AC511" t="s">
        <v>867</v>
      </c>
      <c r="AD511" t="s">
        <v>48</v>
      </c>
      <c r="AE511" t="s">
        <v>45</v>
      </c>
    </row>
    <row r="512">
      <c r="A512">
        <v>1140511</v>
      </c>
      <c r="B512">
        <v>1140511</v>
      </c>
      <c r="C512" t="s">
        <v>871</v>
      </c>
      <c r="D512" t="s">
        <v>866</v>
      </c>
      <c r="E512" t="s">
        <v>624</v>
      </c>
      <c r="F512" s="1">
        <v>13</v>
      </c>
      <c r="G512" s="2">
        <v>0.4</v>
      </c>
      <c r="I512" s="1">
        <v>18.2</v>
      </c>
      <c r="J512" s="1" t="s">
        <f>IF(AND(ISNUMBER(F512),ISNUMBER(H512)),ROUND(F512*(1+H512),2),"")</f>
        <v>39</v>
      </c>
      <c r="K512" s="2" t="s">
        <f>IF(AND(ISNUMBER(I512),I512&gt;0,ISNUMBER(J512)),J512/I512-1,"")</f>
        <v>39</v>
      </c>
      <c r="L512" t="s">
        <v>38</v>
      </c>
      <c r="M512" s="1">
        <v>24.27</v>
      </c>
      <c r="N512" s="1" t="s">
        <f>IF(AND(ISNUMBER(U512),U512&gt;0,ISNUMBER(J512)),ROUND(J512/U512,2),"")</f>
        <v>39</v>
      </c>
      <c r="Q512" t="s">
        <v>166</v>
      </c>
      <c r="R512" t="s">
        <v>39</v>
      </c>
      <c r="S512">
        <v>978732</v>
      </c>
      <c r="T512">
        <v>978732</v>
      </c>
      <c r="U512" s="3">
        <v>0.75</v>
      </c>
      <c r="X512" t="s">
        <v>41</v>
      </c>
      <c r="Z512" s="1">
        <v>18.2</v>
      </c>
      <c r="AA512" s="1" t="s">
        <f>IF(AND(ISNUMBER(Z512),ISNUMBER(I512),I512&gt;0,ISNUMBER(J512)),ROUND(Z512*J512/I512,2),"")</f>
        <v>39</v>
      </c>
      <c r="AB512" t="s">
        <v>42</v>
      </c>
      <c r="AC512" t="s">
        <v>867</v>
      </c>
      <c r="AD512" t="s">
        <v>48</v>
      </c>
      <c r="AE512" t="s">
        <v>45</v>
      </c>
    </row>
    <row r="513">
      <c r="A513">
        <v>1140512</v>
      </c>
      <c r="B513">
        <v>1140512</v>
      </c>
      <c r="C513" t="s">
        <v>872</v>
      </c>
      <c r="D513" t="s">
        <v>866</v>
      </c>
      <c r="E513" t="s">
        <v>624</v>
      </c>
      <c r="F513" s="1">
        <v>13</v>
      </c>
      <c r="G513" s="2">
        <v>0.4</v>
      </c>
      <c r="I513" s="1">
        <v>18.2</v>
      </c>
      <c r="J513" s="1" t="s">
        <f>IF(AND(ISNUMBER(F513),ISNUMBER(H513)),ROUND(F513*(1+H513),2),"")</f>
        <v>39</v>
      </c>
      <c r="K513" s="2" t="s">
        <f>IF(AND(ISNUMBER(I513),I513&gt;0,ISNUMBER(J513)),J513/I513-1,"")</f>
        <v>39</v>
      </c>
      <c r="L513" t="s">
        <v>38</v>
      </c>
      <c r="M513" s="1">
        <v>24.27</v>
      </c>
      <c r="N513" s="1" t="s">
        <f>IF(AND(ISNUMBER(U513),U513&gt;0,ISNUMBER(J513)),ROUND(J513/U513,2),"")</f>
        <v>39</v>
      </c>
      <c r="Q513" t="s">
        <v>166</v>
      </c>
      <c r="R513" t="s">
        <v>39</v>
      </c>
      <c r="S513">
        <v>978734</v>
      </c>
      <c r="T513">
        <v>978734</v>
      </c>
      <c r="U513" s="3">
        <v>0.75</v>
      </c>
      <c r="X513" t="s">
        <v>41</v>
      </c>
      <c r="Z513" s="1">
        <v>18.2</v>
      </c>
      <c r="AA513" s="1" t="s">
        <f>IF(AND(ISNUMBER(Z513),ISNUMBER(I513),I513&gt;0,ISNUMBER(J513)),ROUND(Z513*J513/I513,2),"")</f>
        <v>39</v>
      </c>
      <c r="AB513" t="s">
        <v>42</v>
      </c>
      <c r="AC513" t="s">
        <v>867</v>
      </c>
      <c r="AD513" t="s">
        <v>48</v>
      </c>
      <c r="AE513" t="s">
        <v>45</v>
      </c>
    </row>
    <row r="514">
      <c r="A514">
        <v>1157461</v>
      </c>
      <c r="B514">
        <v>1157461</v>
      </c>
      <c r="C514" t="s">
        <v>873</v>
      </c>
      <c r="D514" t="s">
        <v>866</v>
      </c>
      <c r="E514" t="s">
        <v>100</v>
      </c>
      <c r="F514" s="1">
        <v>2</v>
      </c>
      <c r="G514" s="2">
        <v>0.4</v>
      </c>
      <c r="I514" s="1">
        <v>2.8</v>
      </c>
      <c r="J514" s="1" t="s">
        <f>IF(AND(ISNUMBER(F514),ISNUMBER(H514)),ROUND(F514*(1+H514),2),"")</f>
        <v>39</v>
      </c>
      <c r="K514" s="2" t="s">
        <f>IF(AND(ISNUMBER(I514),I514&gt;0,ISNUMBER(J514)),J514/I514-1,"")</f>
        <v>39</v>
      </c>
      <c r="L514" t="s">
        <v>38</v>
      </c>
      <c r="M514" s="1">
        <v>2.8</v>
      </c>
      <c r="N514" s="1" t="s">
        <f>IF(AND(ISNUMBER(U514),U514&gt;0,ISNUMBER(J514)),ROUND(J514/U514,2),"")</f>
        <v>39</v>
      </c>
      <c r="Q514" t="s">
        <v>166</v>
      </c>
      <c r="R514" t="s">
        <v>39</v>
      </c>
      <c r="S514">
        <v>1001262</v>
      </c>
      <c r="T514">
        <v>1001262</v>
      </c>
      <c r="U514" s="3">
        <v>1</v>
      </c>
      <c r="X514" t="s">
        <v>41</v>
      </c>
      <c r="Z514" s="1">
        <v>2.8</v>
      </c>
      <c r="AA514" s="1" t="s">
        <f>IF(AND(ISNUMBER(Z514),ISNUMBER(I514),I514&gt;0,ISNUMBER(J514)),ROUND(Z514*J514/I514,2),"")</f>
        <v>39</v>
      </c>
      <c r="AB514" t="s">
        <v>42</v>
      </c>
      <c r="AC514" t="s">
        <v>867</v>
      </c>
      <c r="AD514" t="s">
        <v>48</v>
      </c>
      <c r="AE514" t="s">
        <v>45</v>
      </c>
    </row>
    <row r="515">
      <c r="A515">
        <v>1164989</v>
      </c>
      <c r="B515">
        <v>1164989</v>
      </c>
      <c r="C515" t="s">
        <v>874</v>
      </c>
      <c r="D515" t="s">
        <v>866</v>
      </c>
      <c r="E515" t="s">
        <v>100</v>
      </c>
      <c r="F515" s="1">
        <v>5</v>
      </c>
      <c r="G515" s="2">
        <v>0.4</v>
      </c>
      <c r="I515" s="1">
        <v>7</v>
      </c>
      <c r="J515" s="1" t="s">
        <f>IF(AND(ISNUMBER(F515),ISNUMBER(H515)),ROUND(F515*(1+H515),2),"")</f>
        <v>39</v>
      </c>
      <c r="K515" s="2" t="s">
        <f>IF(AND(ISNUMBER(I515),I515&gt;0,ISNUMBER(J515)),J515/I515-1,"")</f>
        <v>39</v>
      </c>
      <c r="L515" t="s">
        <v>38</v>
      </c>
      <c r="M515" s="1">
        <v>7</v>
      </c>
      <c r="N515" s="1" t="s">
        <f>IF(AND(ISNUMBER(U515),U515&gt;0,ISNUMBER(J515)),ROUND(J515/U515,2),"")</f>
        <v>39</v>
      </c>
      <c r="Q515" t="s">
        <v>166</v>
      </c>
      <c r="R515" t="s">
        <v>39</v>
      </c>
      <c r="S515">
        <v>1013014</v>
      </c>
      <c r="T515">
        <v>1013014</v>
      </c>
      <c r="U515" s="3">
        <v>1</v>
      </c>
      <c r="X515" t="s">
        <v>41</v>
      </c>
      <c r="Z515" s="1">
        <v>7</v>
      </c>
      <c r="AA515" s="1" t="s">
        <f>IF(AND(ISNUMBER(Z515),ISNUMBER(I515),I515&gt;0,ISNUMBER(J515)),ROUND(Z515*J515/I515,2),"")</f>
        <v>39</v>
      </c>
      <c r="AB515" t="s">
        <v>42</v>
      </c>
      <c r="AC515" t="s">
        <v>867</v>
      </c>
      <c r="AD515" t="s">
        <v>44</v>
      </c>
      <c r="AE515" t="s">
        <v>45</v>
      </c>
    </row>
    <row r="516">
      <c r="A516">
        <v>1163510</v>
      </c>
      <c r="B516">
        <v>1163510</v>
      </c>
      <c r="C516" t="s">
        <v>875</v>
      </c>
      <c r="D516" t="s">
        <v>866</v>
      </c>
      <c r="E516" t="s">
        <v>876</v>
      </c>
      <c r="F516" s="1">
        <v>17</v>
      </c>
      <c r="G516" s="2">
        <v>0.4</v>
      </c>
      <c r="I516" s="1">
        <v>23.8</v>
      </c>
      <c r="J516" s="1" t="s">
        <f>IF(AND(ISNUMBER(F516),ISNUMBER(H516)),ROUND(F516*(1+H516),2),"")</f>
        <v>39</v>
      </c>
      <c r="K516" s="2" t="s">
        <f>IF(AND(ISNUMBER(I516),I516&gt;0,ISNUMBER(J516)),J516/I516-1,"")</f>
        <v>39</v>
      </c>
      <c r="L516" t="s">
        <v>38</v>
      </c>
      <c r="M516" s="1">
        <v>2.38</v>
      </c>
      <c r="N516" s="1" t="s">
        <f>IF(AND(ISNUMBER(U516),U516&gt;0,ISNUMBER(J516)),ROUND(J516/U516,2),"")</f>
        <v>39</v>
      </c>
      <c r="Q516" t="s">
        <v>166</v>
      </c>
      <c r="R516" t="s">
        <v>39</v>
      </c>
      <c r="S516">
        <v>1011060</v>
      </c>
      <c r="T516">
        <v>1011060</v>
      </c>
      <c r="U516" s="3">
        <v>10</v>
      </c>
      <c r="X516" t="s">
        <v>41</v>
      </c>
      <c r="Z516" s="1">
        <v>23.8</v>
      </c>
      <c r="AA516" s="1" t="s">
        <f>IF(AND(ISNUMBER(Z516),ISNUMBER(I516),I516&gt;0,ISNUMBER(J516)),ROUND(Z516*J516/I516,2),"")</f>
        <v>39</v>
      </c>
      <c r="AB516" t="s">
        <v>42</v>
      </c>
      <c r="AC516" t="s">
        <v>867</v>
      </c>
      <c r="AD516" t="s">
        <v>44</v>
      </c>
      <c r="AE516" t="s">
        <v>45</v>
      </c>
    </row>
    <row r="517">
      <c r="A517">
        <v>1163510</v>
      </c>
      <c r="B517">
        <v>1163510</v>
      </c>
      <c r="C517" t="s">
        <v>875</v>
      </c>
      <c r="D517" t="s">
        <v>866</v>
      </c>
      <c r="E517" t="s">
        <v>877</v>
      </c>
      <c r="F517" s="1">
        <v>9</v>
      </c>
      <c r="G517" s="2">
        <v>0.4</v>
      </c>
      <c r="I517" s="1">
        <v>12.6</v>
      </c>
      <c r="J517" s="1" t="s">
        <f>IF(AND(ISNUMBER(F517),ISNUMBER(H517)),ROUND(F517*(1+H517),2),"")</f>
        <v>39</v>
      </c>
      <c r="K517" s="2" t="s">
        <f>IF(AND(ISNUMBER(I517),I517&gt;0,ISNUMBER(J517)),J517/I517-1,"")</f>
        <v>39</v>
      </c>
      <c r="L517" t="s">
        <v>38</v>
      </c>
      <c r="M517" s="1">
        <v>2.52</v>
      </c>
      <c r="N517" s="1" t="s">
        <f>IF(AND(ISNUMBER(U517),U517&gt;0,ISNUMBER(J517)),ROUND(J517/U517,2),"")</f>
        <v>39</v>
      </c>
      <c r="Q517" t="s">
        <v>166</v>
      </c>
      <c r="R517" t="s">
        <v>39</v>
      </c>
      <c r="S517">
        <v>1011059</v>
      </c>
      <c r="T517">
        <v>1011059</v>
      </c>
      <c r="U517" s="3">
        <v>5</v>
      </c>
      <c r="X517" t="s">
        <v>41</v>
      </c>
      <c r="Z517" s="1">
        <v>12.6</v>
      </c>
      <c r="AA517" s="1" t="s">
        <f>IF(AND(ISNUMBER(Z517),ISNUMBER(I517),I517&gt;0,ISNUMBER(J517)),ROUND(Z517*J517/I517,2),"")</f>
        <v>39</v>
      </c>
      <c r="AB517" t="s">
        <v>42</v>
      </c>
      <c r="AC517" t="s">
        <v>867</v>
      </c>
      <c r="AD517" t="s">
        <v>44</v>
      </c>
      <c r="AE517" t="s">
        <v>45</v>
      </c>
    </row>
    <row r="518">
      <c r="A518">
        <v>1163511</v>
      </c>
      <c r="B518">
        <v>1163511</v>
      </c>
      <c r="C518" t="s">
        <v>878</v>
      </c>
      <c r="D518" t="s">
        <v>866</v>
      </c>
      <c r="E518" t="s">
        <v>876</v>
      </c>
      <c r="F518" s="1">
        <v>17</v>
      </c>
      <c r="G518" s="2">
        <v>0.4</v>
      </c>
      <c r="I518" s="1">
        <v>23.8</v>
      </c>
      <c r="J518" s="1" t="s">
        <f>IF(AND(ISNUMBER(F518),ISNUMBER(H518)),ROUND(F518*(1+H518),2),"")</f>
        <v>39</v>
      </c>
      <c r="K518" s="2" t="s">
        <f>IF(AND(ISNUMBER(I518),I518&gt;0,ISNUMBER(J518)),J518/I518-1,"")</f>
        <v>39</v>
      </c>
      <c r="L518" t="s">
        <v>38</v>
      </c>
      <c r="M518" s="1">
        <v>2.38</v>
      </c>
      <c r="N518" s="1" t="s">
        <f>IF(AND(ISNUMBER(U518),U518&gt;0,ISNUMBER(J518)),ROUND(J518/U518,2),"")</f>
        <v>39</v>
      </c>
      <c r="Q518" t="s">
        <v>166</v>
      </c>
      <c r="R518" t="s">
        <v>39</v>
      </c>
      <c r="S518">
        <v>1011062</v>
      </c>
      <c r="T518">
        <v>1011062</v>
      </c>
      <c r="U518" s="3">
        <v>10</v>
      </c>
      <c r="X518" t="s">
        <v>41</v>
      </c>
      <c r="Z518" s="1">
        <v>23.8</v>
      </c>
      <c r="AA518" s="1" t="s">
        <f>IF(AND(ISNUMBER(Z518),ISNUMBER(I518),I518&gt;0,ISNUMBER(J518)),ROUND(Z518*J518/I518,2),"")</f>
        <v>39</v>
      </c>
      <c r="AB518" t="s">
        <v>42</v>
      </c>
      <c r="AC518" t="s">
        <v>867</v>
      </c>
      <c r="AD518" t="s">
        <v>44</v>
      </c>
      <c r="AE518" t="s">
        <v>45</v>
      </c>
    </row>
    <row r="519">
      <c r="A519">
        <v>1163511</v>
      </c>
      <c r="B519">
        <v>1163511</v>
      </c>
      <c r="C519" t="s">
        <v>878</v>
      </c>
      <c r="D519" t="s">
        <v>866</v>
      </c>
      <c r="E519" t="s">
        <v>877</v>
      </c>
      <c r="F519" s="1">
        <v>9</v>
      </c>
      <c r="G519" s="2">
        <v>0.4</v>
      </c>
      <c r="I519" s="1">
        <v>12.6</v>
      </c>
      <c r="J519" s="1" t="s">
        <f>IF(AND(ISNUMBER(F519),ISNUMBER(H519)),ROUND(F519*(1+H519),2),"")</f>
        <v>39</v>
      </c>
      <c r="K519" s="2" t="s">
        <f>IF(AND(ISNUMBER(I519),I519&gt;0,ISNUMBER(J519)),J519/I519-1,"")</f>
        <v>39</v>
      </c>
      <c r="L519" t="s">
        <v>38</v>
      </c>
      <c r="M519" s="1">
        <v>2.52</v>
      </c>
      <c r="N519" s="1" t="s">
        <f>IF(AND(ISNUMBER(U519),U519&gt;0,ISNUMBER(J519)),ROUND(J519/U519,2),"")</f>
        <v>39</v>
      </c>
      <c r="Q519" t="s">
        <v>166</v>
      </c>
      <c r="R519" t="s">
        <v>39</v>
      </c>
      <c r="S519">
        <v>1011061</v>
      </c>
      <c r="T519">
        <v>1011061</v>
      </c>
      <c r="U519" s="3">
        <v>5</v>
      </c>
      <c r="X519" t="s">
        <v>41</v>
      </c>
      <c r="Z519" s="1">
        <v>12.6</v>
      </c>
      <c r="AA519" s="1" t="s">
        <f>IF(AND(ISNUMBER(Z519),ISNUMBER(I519),I519&gt;0,ISNUMBER(J519)),ROUND(Z519*J519/I519,2),"")</f>
        <v>39</v>
      </c>
      <c r="AB519" t="s">
        <v>42</v>
      </c>
      <c r="AC519" t="s">
        <v>867</v>
      </c>
      <c r="AD519" t="s">
        <v>44</v>
      </c>
      <c r="AE519" t="s">
        <v>45</v>
      </c>
    </row>
    <row r="520">
      <c r="A520">
        <v>1161251</v>
      </c>
      <c r="B520">
        <v>1161251</v>
      </c>
      <c r="C520" t="s">
        <v>879</v>
      </c>
      <c r="D520" t="s">
        <v>866</v>
      </c>
      <c r="E520" t="s">
        <v>92</v>
      </c>
      <c r="F520" s="1">
        <v>2</v>
      </c>
      <c r="G520" s="2">
        <v>0.4</v>
      </c>
      <c r="I520" s="1">
        <v>2.8</v>
      </c>
      <c r="J520" s="1" t="s">
        <f>IF(AND(ISNUMBER(F520),ISNUMBER(H520)),ROUND(F520*(1+H520),2),"")</f>
        <v>39</v>
      </c>
      <c r="K520" s="2" t="s">
        <f>IF(AND(ISNUMBER(I520),I520&gt;0,ISNUMBER(J520)),J520/I520-1,"")</f>
        <v>39</v>
      </c>
      <c r="L520" t="s">
        <v>38</v>
      </c>
      <c r="N520" s="1" t="s">
        <f>IF(AND(ISNUMBER(U520),U520&gt;0,ISNUMBER(J520)),ROUND(J520/U520,2),"")</f>
        <v>39</v>
      </c>
      <c r="Q520" t="s">
        <v>166</v>
      </c>
      <c r="R520" t="s">
        <v>39</v>
      </c>
      <c r="S520">
        <v>1006823</v>
      </c>
      <c r="T520">
        <v>1006823</v>
      </c>
      <c r="X520" t="s">
        <v>41</v>
      </c>
      <c r="Z520" s="1">
        <v>2.8</v>
      </c>
      <c r="AA520" s="1" t="s">
        <f>IF(AND(ISNUMBER(Z520),ISNUMBER(I520),I520&gt;0,ISNUMBER(J520)),ROUND(Z520*J520/I520,2),"")</f>
        <v>39</v>
      </c>
      <c r="AB520" t="s">
        <v>42</v>
      </c>
      <c r="AC520" t="s">
        <v>867</v>
      </c>
      <c r="AD520" t="s">
        <v>48</v>
      </c>
      <c r="AE520" t="s">
        <v>45</v>
      </c>
    </row>
    <row r="521">
      <c r="A521">
        <v>805768</v>
      </c>
      <c r="B521">
        <v>805768</v>
      </c>
      <c r="C521" t="s">
        <v>880</v>
      </c>
      <c r="D521" t="s">
        <v>866</v>
      </c>
      <c r="E521" t="s">
        <v>96</v>
      </c>
      <c r="F521" s="1">
        <v>3</v>
      </c>
      <c r="G521" s="2">
        <v>0.4</v>
      </c>
      <c r="I521" s="1">
        <v>4.2</v>
      </c>
      <c r="J521" s="1" t="s">
        <f>IF(AND(ISNUMBER(F521),ISNUMBER(H521)),ROUND(F521*(1+H521),2),"")</f>
        <v>39</v>
      </c>
      <c r="K521" s="2" t="s">
        <f>IF(AND(ISNUMBER(I521),I521&gt;0,ISNUMBER(J521)),J521/I521-1,"")</f>
        <v>39</v>
      </c>
      <c r="L521" t="s">
        <v>38</v>
      </c>
      <c r="N521" s="1" t="s">
        <f>IF(AND(ISNUMBER(U521),U521&gt;0,ISNUMBER(J521)),ROUND(J521/U521,2),"")</f>
        <v>39</v>
      </c>
      <c r="Q521" t="s">
        <v>166</v>
      </c>
      <c r="R521" t="s">
        <v>39</v>
      </c>
      <c r="S521">
        <v>526824</v>
      </c>
      <c r="T521">
        <v>526824</v>
      </c>
      <c r="X521" t="s">
        <v>41</v>
      </c>
      <c r="Z521" s="1">
        <v>4.2</v>
      </c>
      <c r="AA521" s="1" t="s">
        <f>IF(AND(ISNUMBER(Z521),ISNUMBER(I521),I521&gt;0,ISNUMBER(J521)),ROUND(Z521*J521/I521,2),"")</f>
        <v>39</v>
      </c>
      <c r="AB521" t="s">
        <v>42</v>
      </c>
      <c r="AC521" t="s">
        <v>867</v>
      </c>
      <c r="AD521" t="s">
        <v>48</v>
      </c>
      <c r="AE521" t="s">
        <v>45</v>
      </c>
    </row>
    <row r="522">
      <c r="A522">
        <v>805771</v>
      </c>
      <c r="B522">
        <v>805771</v>
      </c>
      <c r="C522" t="s">
        <v>881</v>
      </c>
      <c r="D522" t="s">
        <v>866</v>
      </c>
      <c r="E522" t="s">
        <v>882</v>
      </c>
      <c r="F522" s="1">
        <v>6.34</v>
      </c>
      <c r="G522" s="2">
        <v>0.34</v>
      </c>
      <c r="I522" s="1">
        <v>8.5</v>
      </c>
      <c r="J522" s="1" t="s">
        <f>IF(AND(ISNUMBER(F522),ISNUMBER(H522)),ROUND(F522*(1+H522),2),"")</f>
        <v>39</v>
      </c>
      <c r="K522" s="2" t="s">
        <f>IF(AND(ISNUMBER(I522),I522&gt;0,ISNUMBER(J522)),J522/I522-1,"")</f>
        <v>39</v>
      </c>
      <c r="L522" t="s">
        <v>38</v>
      </c>
      <c r="N522" s="1" t="s">
        <f>IF(AND(ISNUMBER(U522),U522&gt;0,ISNUMBER(J522)),ROUND(J522/U522,2),"")</f>
        <v>39</v>
      </c>
      <c r="Q522" t="s">
        <v>166</v>
      </c>
      <c r="R522" t="s">
        <v>39</v>
      </c>
      <c r="S522">
        <v>526827</v>
      </c>
      <c r="T522">
        <v>526827</v>
      </c>
      <c r="X522" t="s">
        <v>41</v>
      </c>
      <c r="Z522" s="1">
        <v>8.5</v>
      </c>
      <c r="AA522" s="1" t="s">
        <f>IF(AND(ISNUMBER(Z522),ISNUMBER(I522),I522&gt;0,ISNUMBER(J522)),ROUND(Z522*J522/I522,2),"")</f>
        <v>39</v>
      </c>
      <c r="AB522" t="s">
        <v>42</v>
      </c>
      <c r="AC522" t="s">
        <v>883</v>
      </c>
      <c r="AD522" t="s">
        <v>48</v>
      </c>
      <c r="AE522" t="s">
        <v>45</v>
      </c>
    </row>
    <row r="523">
      <c r="A523">
        <v>805881</v>
      </c>
      <c r="B523">
        <v>805881</v>
      </c>
      <c r="C523" t="s">
        <v>884</v>
      </c>
      <c r="D523" t="s">
        <v>866</v>
      </c>
      <c r="E523" t="s">
        <v>96</v>
      </c>
      <c r="F523" s="1">
        <v>1</v>
      </c>
      <c r="G523" s="2">
        <v>0.33</v>
      </c>
      <c r="I523" s="1">
        <v>1.33</v>
      </c>
      <c r="J523" s="1" t="s">
        <f>IF(AND(ISNUMBER(F523),ISNUMBER(H523)),ROUND(F523*(1+H523),2),"")</f>
        <v>39</v>
      </c>
      <c r="K523" s="2" t="s">
        <f>IF(AND(ISNUMBER(I523),I523&gt;0,ISNUMBER(J523)),J523/I523-1,"")</f>
        <v>39</v>
      </c>
      <c r="L523" t="s">
        <v>38</v>
      </c>
      <c r="N523" s="1" t="s">
        <f>IF(AND(ISNUMBER(U523),U523&gt;0,ISNUMBER(J523)),ROUND(J523/U523,2),"")</f>
        <v>39</v>
      </c>
      <c r="Q523" t="s">
        <v>166</v>
      </c>
      <c r="R523" t="s">
        <v>39</v>
      </c>
      <c r="S523">
        <v>526939</v>
      </c>
      <c r="T523">
        <v>526939</v>
      </c>
      <c r="X523" t="s">
        <v>41</v>
      </c>
      <c r="Z523" s="1">
        <v>1.33</v>
      </c>
      <c r="AA523" s="1" t="s">
        <f>IF(AND(ISNUMBER(Z523),ISNUMBER(I523),I523&gt;0,ISNUMBER(J523)),ROUND(Z523*J523/I523,2),"")</f>
        <v>39</v>
      </c>
      <c r="AB523" t="s">
        <v>42</v>
      </c>
      <c r="AC523" t="s">
        <v>885</v>
      </c>
      <c r="AD523" t="s">
        <v>48</v>
      </c>
      <c r="AE523" t="s">
        <v>45</v>
      </c>
    </row>
    <row r="524">
      <c r="A524">
        <v>805819</v>
      </c>
      <c r="B524">
        <v>805819</v>
      </c>
      <c r="C524" t="s">
        <v>886</v>
      </c>
      <c r="D524" t="s">
        <v>866</v>
      </c>
      <c r="E524" t="s">
        <v>96</v>
      </c>
      <c r="F524" s="1">
        <v>2</v>
      </c>
      <c r="G524" s="2">
        <v>0.4</v>
      </c>
      <c r="I524" s="1">
        <v>2.8</v>
      </c>
      <c r="J524" s="1" t="s">
        <f>IF(AND(ISNUMBER(F524),ISNUMBER(H524)),ROUND(F524*(1+H524),2),"")</f>
        <v>39</v>
      </c>
      <c r="K524" s="2" t="s">
        <f>IF(AND(ISNUMBER(I524),I524&gt;0,ISNUMBER(J524)),J524/I524-1,"")</f>
        <v>39</v>
      </c>
      <c r="L524" t="s">
        <v>38</v>
      </c>
      <c r="N524" s="1" t="s">
        <f>IF(AND(ISNUMBER(U524),U524&gt;0,ISNUMBER(J524)),ROUND(J524/U524,2),"")</f>
        <v>39</v>
      </c>
      <c r="Q524" t="s">
        <v>166</v>
      </c>
      <c r="R524" t="s">
        <v>39</v>
      </c>
      <c r="S524">
        <v>526876</v>
      </c>
      <c r="T524">
        <v>526876</v>
      </c>
      <c r="X524" t="s">
        <v>41</v>
      </c>
      <c r="Z524" s="1">
        <v>2.8</v>
      </c>
      <c r="AA524" s="1" t="s">
        <f>IF(AND(ISNUMBER(Z524),ISNUMBER(I524),I524&gt;0,ISNUMBER(J524)),ROUND(Z524*J524/I524,2),"")</f>
        <v>39</v>
      </c>
      <c r="AB524" t="s">
        <v>42</v>
      </c>
      <c r="AC524" t="s">
        <v>867</v>
      </c>
      <c r="AD524" t="s">
        <v>44</v>
      </c>
      <c r="AE524" t="s">
        <v>45</v>
      </c>
    </row>
    <row r="525">
      <c r="A525">
        <v>825306</v>
      </c>
      <c r="B525">
        <v>825306</v>
      </c>
      <c r="C525" t="s">
        <v>887</v>
      </c>
      <c r="D525" t="s">
        <v>866</v>
      </c>
      <c r="E525" t="s">
        <v>153</v>
      </c>
      <c r="F525" s="1">
        <v>8.5</v>
      </c>
      <c r="G525" s="2">
        <v>0.33</v>
      </c>
      <c r="I525" s="1">
        <v>11.3</v>
      </c>
      <c r="J525" s="1" t="s">
        <f>IF(AND(ISNUMBER(F525),ISNUMBER(H525)),ROUND(F525*(1+H525),2),"")</f>
        <v>39</v>
      </c>
      <c r="K525" s="2" t="s">
        <f>IF(AND(ISNUMBER(I525),I525&gt;0,ISNUMBER(J525)),J525/I525-1,"")</f>
        <v>39</v>
      </c>
      <c r="L525" t="s">
        <v>38</v>
      </c>
      <c r="M525" s="1">
        <v>22.6</v>
      </c>
      <c r="N525" s="1" t="s">
        <f>IF(AND(ISNUMBER(U525),U525&gt;0,ISNUMBER(J525)),ROUND(J525/U525,2),"")</f>
        <v>39</v>
      </c>
      <c r="Q525" t="s">
        <v>166</v>
      </c>
      <c r="R525" t="s">
        <v>39</v>
      </c>
      <c r="S525">
        <v>549220</v>
      </c>
      <c r="T525">
        <v>549220</v>
      </c>
      <c r="U525" s="3">
        <v>0.5</v>
      </c>
      <c r="X525" t="s">
        <v>41</v>
      </c>
      <c r="Z525" s="1">
        <v>11.3</v>
      </c>
      <c r="AA525" s="1" t="s">
        <f>IF(AND(ISNUMBER(Z525),ISNUMBER(I525),I525&gt;0,ISNUMBER(J525)),ROUND(Z525*J525/I525,2),"")</f>
        <v>39</v>
      </c>
      <c r="AB525" t="s">
        <v>42</v>
      </c>
      <c r="AC525" t="s">
        <v>888</v>
      </c>
      <c r="AD525" t="s">
        <v>48</v>
      </c>
      <c r="AE525" t="s">
        <v>45</v>
      </c>
    </row>
    <row r="526">
      <c r="A526">
        <v>1149428</v>
      </c>
      <c r="B526">
        <v>1149428</v>
      </c>
      <c r="C526" t="s">
        <v>889</v>
      </c>
      <c r="D526" t="s">
        <v>866</v>
      </c>
      <c r="E526" t="s">
        <v>153</v>
      </c>
      <c r="F526" s="1">
        <v>4</v>
      </c>
      <c r="G526" s="2">
        <v>0.4</v>
      </c>
      <c r="I526" s="1">
        <v>5.6</v>
      </c>
      <c r="J526" s="1" t="s">
        <f>IF(AND(ISNUMBER(F526),ISNUMBER(H526)),ROUND(F526*(1+H526),2),"")</f>
        <v>39</v>
      </c>
      <c r="K526" s="2" t="s">
        <f>IF(AND(ISNUMBER(I526),I526&gt;0,ISNUMBER(J526)),J526/I526-1,"")</f>
        <v>39</v>
      </c>
      <c r="L526" t="s">
        <v>38</v>
      </c>
      <c r="M526" s="1">
        <v>11.2</v>
      </c>
      <c r="N526" s="1" t="s">
        <f>IF(AND(ISNUMBER(U526),U526&gt;0,ISNUMBER(J526)),ROUND(J526/U526,2),"")</f>
        <v>39</v>
      </c>
      <c r="Q526" t="s">
        <v>166</v>
      </c>
      <c r="R526" t="s">
        <v>39</v>
      </c>
      <c r="S526">
        <v>990475</v>
      </c>
      <c r="T526">
        <v>990475</v>
      </c>
      <c r="U526" s="3">
        <v>0.5</v>
      </c>
      <c r="X526" t="s">
        <v>41</v>
      </c>
      <c r="Z526" s="1">
        <v>5.6</v>
      </c>
      <c r="AA526" s="1" t="s">
        <f>IF(AND(ISNUMBER(Z526),ISNUMBER(I526),I526&gt;0,ISNUMBER(J526)),ROUND(Z526*J526/I526,2),"")</f>
        <v>39</v>
      </c>
      <c r="AB526" t="s">
        <v>42</v>
      </c>
      <c r="AC526" t="s">
        <v>867</v>
      </c>
      <c r="AD526" t="s">
        <v>44</v>
      </c>
      <c r="AE526" t="s">
        <v>45</v>
      </c>
    </row>
    <row r="527">
      <c r="A527">
        <v>1154526</v>
      </c>
      <c r="B527">
        <v>1154526</v>
      </c>
      <c r="C527" t="s">
        <v>890</v>
      </c>
      <c r="D527" t="s">
        <v>866</v>
      </c>
      <c r="E527" t="s">
        <v>624</v>
      </c>
      <c r="F527" s="1">
        <v>14</v>
      </c>
      <c r="G527" s="2">
        <v>0.4</v>
      </c>
      <c r="I527" s="1">
        <v>19.6</v>
      </c>
      <c r="J527" s="1" t="s">
        <f>IF(AND(ISNUMBER(F527),ISNUMBER(H527)),ROUND(F527*(1+H527),2),"")</f>
        <v>39</v>
      </c>
      <c r="K527" s="2" t="s">
        <f>IF(AND(ISNUMBER(I527),I527&gt;0,ISNUMBER(J527)),J527/I527-1,"")</f>
        <v>39</v>
      </c>
      <c r="L527" t="s">
        <v>38</v>
      </c>
      <c r="M527" s="1">
        <v>26.13</v>
      </c>
      <c r="N527" s="1" t="s">
        <f>IF(AND(ISNUMBER(U527),U527&gt;0,ISNUMBER(J527)),ROUND(J527/U527,2),"")</f>
        <v>39</v>
      </c>
      <c r="Q527" t="s">
        <v>166</v>
      </c>
      <c r="R527" t="s">
        <v>39</v>
      </c>
      <c r="S527">
        <v>997783</v>
      </c>
      <c r="T527">
        <v>997783</v>
      </c>
      <c r="U527" s="3">
        <v>0.75</v>
      </c>
      <c r="X527" t="s">
        <v>41</v>
      </c>
      <c r="Z527" s="1">
        <v>19.6</v>
      </c>
      <c r="AA527" s="1" t="s">
        <f>IF(AND(ISNUMBER(Z527),ISNUMBER(I527),I527&gt;0,ISNUMBER(J527)),ROUND(Z527*J527/I527,2),"")</f>
        <v>39</v>
      </c>
      <c r="AB527" t="s">
        <v>42</v>
      </c>
      <c r="AC527" t="s">
        <v>867</v>
      </c>
      <c r="AD527" t="s">
        <v>44</v>
      </c>
      <c r="AE527" t="s">
        <v>45</v>
      </c>
    </row>
    <row r="528">
      <c r="A528">
        <v>1154528</v>
      </c>
      <c r="B528">
        <v>1154528</v>
      </c>
      <c r="C528" t="s">
        <v>891</v>
      </c>
      <c r="D528" t="s">
        <v>866</v>
      </c>
      <c r="E528" t="s">
        <v>624</v>
      </c>
      <c r="F528" s="1">
        <v>14</v>
      </c>
      <c r="G528" s="2">
        <v>0.4</v>
      </c>
      <c r="I528" s="1">
        <v>19.6</v>
      </c>
      <c r="J528" s="1" t="s">
        <f>IF(AND(ISNUMBER(F528),ISNUMBER(H528)),ROUND(F528*(1+H528),2),"")</f>
        <v>39</v>
      </c>
      <c r="K528" s="2" t="s">
        <f>IF(AND(ISNUMBER(I528),I528&gt;0,ISNUMBER(J528)),J528/I528-1,"")</f>
        <v>39</v>
      </c>
      <c r="L528" t="s">
        <v>38</v>
      </c>
      <c r="M528" s="1">
        <v>26.13</v>
      </c>
      <c r="N528" s="1" t="s">
        <f>IF(AND(ISNUMBER(U528),U528&gt;0,ISNUMBER(J528)),ROUND(J528/U528,2),"")</f>
        <v>39</v>
      </c>
      <c r="Q528" t="s">
        <v>166</v>
      </c>
      <c r="R528" t="s">
        <v>39</v>
      </c>
      <c r="S528">
        <v>997785</v>
      </c>
      <c r="T528">
        <v>997785</v>
      </c>
      <c r="U528" s="3">
        <v>0.75</v>
      </c>
      <c r="X528" t="s">
        <v>41</v>
      </c>
      <c r="Z528" s="1">
        <v>19.6</v>
      </c>
      <c r="AA528" s="1" t="s">
        <f>IF(AND(ISNUMBER(Z528),ISNUMBER(I528),I528&gt;0,ISNUMBER(J528)),ROUND(Z528*J528/I528,2),"")</f>
        <v>39</v>
      </c>
      <c r="AB528" t="s">
        <v>42</v>
      </c>
      <c r="AC528" t="s">
        <v>867</v>
      </c>
      <c r="AD528" t="s">
        <v>44</v>
      </c>
      <c r="AE528" t="s">
        <v>45</v>
      </c>
    </row>
    <row r="529">
      <c r="A529">
        <v>805885</v>
      </c>
      <c r="B529">
        <v>805885</v>
      </c>
      <c r="C529" t="s">
        <v>892</v>
      </c>
      <c r="D529" t="s">
        <v>866</v>
      </c>
      <c r="E529" t="s">
        <v>96</v>
      </c>
      <c r="F529" s="1">
        <v>3.5</v>
      </c>
      <c r="G529" s="2">
        <v>-0.1428571428571429</v>
      </c>
      <c r="I529" s="1">
        <v>3</v>
      </c>
      <c r="J529" s="1" t="s">
        <f>IF(AND(ISNUMBER(F529),ISNUMBER(H529)),ROUND(F529*(1+H529),2),"")</f>
        <v>39</v>
      </c>
      <c r="K529" s="2" t="s">
        <f>IF(AND(ISNUMBER(I529),I529&gt;0,ISNUMBER(J529)),J529/I529-1,"")</f>
        <v>39</v>
      </c>
      <c r="L529" t="s">
        <v>751</v>
      </c>
      <c r="N529" s="1" t="s">
        <f>IF(AND(ISNUMBER(U529),U529&gt;0,ISNUMBER(J529)),ROUND(J529/U529,2),"")</f>
        <v>39</v>
      </c>
      <c r="Q529" t="s">
        <v>166</v>
      </c>
      <c r="R529" t="s">
        <v>39</v>
      </c>
      <c r="S529">
        <v>526943</v>
      </c>
      <c r="T529">
        <v>526943</v>
      </c>
      <c r="X529" t="s">
        <v>41</v>
      </c>
      <c r="AA529" s="1" t="s">
        <f>IF(AND(ISNUMBER(Z529),ISNUMBER(I529),I529&gt;0,ISNUMBER(J529)),ROUND(Z529*J529/I529,2),"")</f>
        <v>39</v>
      </c>
      <c r="AB529" t="s">
        <v>893</v>
      </c>
      <c r="AC529" t="s">
        <v>894</v>
      </c>
      <c r="AD529" t="s">
        <v>48</v>
      </c>
      <c r="AE529" t="s">
        <v>45</v>
      </c>
    </row>
    <row r="530">
      <c r="A530">
        <v>805785</v>
      </c>
      <c r="B530">
        <v>805785</v>
      </c>
      <c r="C530" t="s">
        <v>895</v>
      </c>
      <c r="D530" t="s">
        <v>866</v>
      </c>
      <c r="E530" t="s">
        <v>96</v>
      </c>
      <c r="F530" s="1">
        <v>1.5</v>
      </c>
      <c r="G530" s="2">
        <v>-0.16666666666666663</v>
      </c>
      <c r="I530" s="1">
        <v>1.25</v>
      </c>
      <c r="J530" s="1" t="s">
        <f>IF(AND(ISNUMBER(F530),ISNUMBER(H530)),ROUND(F530*(1+H530),2),"")</f>
        <v>39</v>
      </c>
      <c r="K530" s="2" t="s">
        <f>IF(AND(ISNUMBER(I530),I530&gt;0,ISNUMBER(J530)),J530/I530-1,"")</f>
        <v>39</v>
      </c>
      <c r="L530" t="s">
        <v>751</v>
      </c>
      <c r="N530" s="1" t="s">
        <f>IF(AND(ISNUMBER(U530),U530&gt;0,ISNUMBER(J530)),ROUND(J530/U530,2),"")</f>
        <v>39</v>
      </c>
      <c r="Q530" t="s">
        <v>166</v>
      </c>
      <c r="R530" t="s">
        <v>39</v>
      </c>
      <c r="S530">
        <v>526841</v>
      </c>
      <c r="T530">
        <v>526841</v>
      </c>
      <c r="X530" t="s">
        <v>41</v>
      </c>
      <c r="AA530" s="1" t="s">
        <f>IF(AND(ISNUMBER(Z530),ISNUMBER(I530),I530&gt;0,ISNUMBER(J530)),ROUND(Z530*J530/I530,2),"")</f>
        <v>39</v>
      </c>
      <c r="AB530" t="s">
        <v>896</v>
      </c>
      <c r="AC530" t="s">
        <v>897</v>
      </c>
      <c r="AD530" t="s">
        <v>48</v>
      </c>
      <c r="AE530" t="s">
        <v>45</v>
      </c>
    </row>
    <row r="531">
      <c r="A531">
        <v>805797</v>
      </c>
      <c r="B531">
        <v>805797</v>
      </c>
      <c r="C531" t="s">
        <v>898</v>
      </c>
      <c r="D531" t="s">
        <v>866</v>
      </c>
      <c r="E531" t="s">
        <v>96</v>
      </c>
      <c r="F531" s="1">
        <v>58.25</v>
      </c>
      <c r="G531" s="2">
        <v>-0.1673819742489271</v>
      </c>
      <c r="I531" s="1">
        <v>48.5</v>
      </c>
      <c r="J531" s="1" t="s">
        <f>IF(AND(ISNUMBER(F531),ISNUMBER(H531)),ROUND(F531*(1+H531),2),"")</f>
        <v>39</v>
      </c>
      <c r="K531" s="2" t="s">
        <f>IF(AND(ISNUMBER(I531),I531&gt;0,ISNUMBER(J531)),J531/I531-1,"")</f>
        <v>39</v>
      </c>
      <c r="L531" t="s">
        <v>751</v>
      </c>
      <c r="N531" s="1" t="s">
        <f>IF(AND(ISNUMBER(U531),U531&gt;0,ISNUMBER(J531)),ROUND(J531/U531,2),"")</f>
        <v>39</v>
      </c>
      <c r="Q531" t="s">
        <v>166</v>
      </c>
      <c r="R531" t="s">
        <v>39</v>
      </c>
      <c r="S531">
        <v>526853</v>
      </c>
      <c r="T531">
        <v>526853</v>
      </c>
      <c r="X531" t="s">
        <v>41</v>
      </c>
      <c r="AA531" s="1" t="s">
        <f>IF(AND(ISNUMBER(Z531),ISNUMBER(I531),I531&gt;0,ISNUMBER(J531)),ROUND(Z531*J531/I531,2),"")</f>
        <v>39</v>
      </c>
      <c r="AB531" t="s">
        <v>899</v>
      </c>
      <c r="AC531" t="s">
        <v>894</v>
      </c>
      <c r="AD531" t="s">
        <v>48</v>
      </c>
      <c r="AE531" t="s">
        <v>45</v>
      </c>
    </row>
    <row r="532">
      <c r="A532">
        <v>1157469</v>
      </c>
      <c r="B532">
        <v>1157469</v>
      </c>
      <c r="C532" t="s">
        <v>900</v>
      </c>
      <c r="D532" t="s">
        <v>866</v>
      </c>
      <c r="E532" t="s">
        <v>74</v>
      </c>
      <c r="F532" s="1">
        <v>45</v>
      </c>
      <c r="G532" s="2">
        <v>0.4</v>
      </c>
      <c r="I532" s="1">
        <v>63</v>
      </c>
      <c r="J532" s="1" t="s">
        <f>IF(AND(ISNUMBER(F532),ISNUMBER(H532)),ROUND(F532*(1+H532),2),"")</f>
        <v>39</v>
      </c>
      <c r="K532" s="2" t="s">
        <f>IF(AND(ISNUMBER(I532),I532&gt;0,ISNUMBER(J532)),J532/I532-1,"")</f>
        <v>39</v>
      </c>
      <c r="L532" t="s">
        <v>38</v>
      </c>
      <c r="M532" s="1">
        <v>21</v>
      </c>
      <c r="N532" s="1" t="s">
        <f>IF(AND(ISNUMBER(U532),U532&gt;0,ISNUMBER(J532)),ROUND(J532/U532,2),"")</f>
        <v>39</v>
      </c>
      <c r="Q532" t="s">
        <v>166</v>
      </c>
      <c r="R532" t="s">
        <v>39</v>
      </c>
      <c r="S532">
        <v>1001274</v>
      </c>
      <c r="T532">
        <v>1001274</v>
      </c>
      <c r="U532" s="3">
        <v>3</v>
      </c>
      <c r="X532" t="s">
        <v>41</v>
      </c>
      <c r="Z532" s="1">
        <v>63</v>
      </c>
      <c r="AA532" s="1" t="s">
        <f>IF(AND(ISNUMBER(Z532),ISNUMBER(I532),I532&gt;0,ISNUMBER(J532)),ROUND(Z532*J532/I532,2),"")</f>
        <v>39</v>
      </c>
      <c r="AB532" t="s">
        <v>42</v>
      </c>
      <c r="AC532" t="s">
        <v>867</v>
      </c>
      <c r="AD532" t="s">
        <v>44</v>
      </c>
      <c r="AE532" t="s">
        <v>45</v>
      </c>
    </row>
    <row r="533">
      <c r="A533">
        <v>1159145</v>
      </c>
      <c r="B533">
        <v>1159145</v>
      </c>
      <c r="C533" t="s">
        <v>901</v>
      </c>
      <c r="D533" t="s">
        <v>866</v>
      </c>
      <c r="E533" t="s">
        <v>100</v>
      </c>
      <c r="F533" s="1">
        <v>8</v>
      </c>
      <c r="G533" s="2">
        <v>0.4</v>
      </c>
      <c r="I533" s="1">
        <v>11.2</v>
      </c>
      <c r="J533" s="1" t="s">
        <f>IF(AND(ISNUMBER(F533),ISNUMBER(H533)),ROUND(F533*(1+H533),2),"")</f>
        <v>39</v>
      </c>
      <c r="K533" s="2" t="s">
        <f>IF(AND(ISNUMBER(I533),I533&gt;0,ISNUMBER(J533)),J533/I533-1,"")</f>
        <v>39</v>
      </c>
      <c r="L533" t="s">
        <v>38</v>
      </c>
      <c r="M533" s="1">
        <v>11.2</v>
      </c>
      <c r="N533" s="1" t="s">
        <f>IF(AND(ISNUMBER(U533),U533&gt;0,ISNUMBER(J533)),ROUND(J533/U533,2),"")</f>
        <v>39</v>
      </c>
      <c r="Q533" t="s">
        <v>166</v>
      </c>
      <c r="R533" t="s">
        <v>39</v>
      </c>
      <c r="S533">
        <v>1003819</v>
      </c>
      <c r="T533">
        <v>1003819</v>
      </c>
      <c r="U533" s="3">
        <v>1</v>
      </c>
      <c r="X533" t="s">
        <v>41</v>
      </c>
      <c r="Z533" s="1">
        <v>11.2</v>
      </c>
      <c r="AA533" s="1" t="s">
        <f>IF(AND(ISNUMBER(Z533),ISNUMBER(I533),I533&gt;0,ISNUMBER(J533)),ROUND(Z533*J533/I533,2),"")</f>
        <v>39</v>
      </c>
      <c r="AB533" t="s">
        <v>42</v>
      </c>
      <c r="AC533" t="s">
        <v>867</v>
      </c>
      <c r="AD533" t="s">
        <v>48</v>
      </c>
      <c r="AE533" t="s">
        <v>45</v>
      </c>
    </row>
    <row r="534">
      <c r="A534">
        <v>805770</v>
      </c>
      <c r="B534">
        <v>805770</v>
      </c>
      <c r="C534" t="s">
        <v>902</v>
      </c>
      <c r="D534" t="s">
        <v>866</v>
      </c>
      <c r="E534" t="s">
        <v>96</v>
      </c>
      <c r="F534" s="1">
        <v>1.75</v>
      </c>
      <c r="G534" s="2">
        <v>-0.1428571428571429</v>
      </c>
      <c r="I534" s="1">
        <v>1.5</v>
      </c>
      <c r="J534" s="1" t="s">
        <f>IF(AND(ISNUMBER(F534),ISNUMBER(H534)),ROUND(F534*(1+H534),2),"")</f>
        <v>39</v>
      </c>
      <c r="K534" s="2" t="s">
        <f>IF(AND(ISNUMBER(I534),I534&gt;0,ISNUMBER(J534)),J534/I534-1,"")</f>
        <v>39</v>
      </c>
      <c r="L534" t="s">
        <v>751</v>
      </c>
      <c r="N534" s="1" t="s">
        <f>IF(AND(ISNUMBER(U534),U534&gt;0,ISNUMBER(J534)),ROUND(J534/U534,2),"")</f>
        <v>39</v>
      </c>
      <c r="Q534" t="s">
        <v>166</v>
      </c>
      <c r="R534" t="s">
        <v>39</v>
      </c>
      <c r="S534">
        <v>526826</v>
      </c>
      <c r="T534">
        <v>526826</v>
      </c>
      <c r="X534" t="s">
        <v>41</v>
      </c>
      <c r="AA534" s="1" t="s">
        <f>IF(AND(ISNUMBER(Z534),ISNUMBER(I534),I534&gt;0,ISNUMBER(J534)),ROUND(Z534*J534/I534,2),"")</f>
        <v>39</v>
      </c>
      <c r="AB534" t="s">
        <v>903</v>
      </c>
      <c r="AC534" t="s">
        <v>894</v>
      </c>
      <c r="AD534" t="s">
        <v>48</v>
      </c>
      <c r="AE534" t="s">
        <v>45</v>
      </c>
    </row>
    <row r="535">
      <c r="A535">
        <v>1162541</v>
      </c>
      <c r="B535">
        <v>1162541</v>
      </c>
      <c r="C535" t="s">
        <v>904</v>
      </c>
      <c r="D535" t="s">
        <v>866</v>
      </c>
      <c r="E535" t="s">
        <v>94</v>
      </c>
      <c r="F535" s="1">
        <v>1.35</v>
      </c>
      <c r="G535" s="2">
        <v>0.4</v>
      </c>
      <c r="I535" s="1">
        <v>1.89</v>
      </c>
      <c r="J535" s="1" t="s">
        <f>IF(AND(ISNUMBER(F535),ISNUMBER(H535)),ROUND(F535*(1+H535),2),"")</f>
        <v>39</v>
      </c>
      <c r="K535" s="2" t="s">
        <f>IF(AND(ISNUMBER(I535),I535&gt;0,ISNUMBER(J535)),J535/I535-1,"")</f>
        <v>39</v>
      </c>
      <c r="L535" t="s">
        <v>38</v>
      </c>
      <c r="N535" s="1" t="s">
        <f>IF(AND(ISNUMBER(U535),U535&gt;0,ISNUMBER(J535)),ROUND(J535/U535,2),"")</f>
        <v>39</v>
      </c>
      <c r="Q535" t="s">
        <v>166</v>
      </c>
      <c r="R535" t="s">
        <v>39</v>
      </c>
      <c r="S535">
        <v>1009634</v>
      </c>
      <c r="T535">
        <v>1009634</v>
      </c>
      <c r="X535" t="s">
        <v>41</v>
      </c>
      <c r="Z535" s="1">
        <v>1.89</v>
      </c>
      <c r="AA535" s="1" t="s">
        <f>IF(AND(ISNUMBER(Z535),ISNUMBER(I535),I535&gt;0,ISNUMBER(J535)),ROUND(Z535*J535/I535,2),"")</f>
        <v>39</v>
      </c>
      <c r="AB535" t="s">
        <v>42</v>
      </c>
      <c r="AC535" t="s">
        <v>867</v>
      </c>
      <c r="AD535" t="s">
        <v>48</v>
      </c>
      <c r="AE535" t="s">
        <v>45</v>
      </c>
    </row>
    <row r="536">
      <c r="A536">
        <v>1163727</v>
      </c>
      <c r="B536">
        <v>1163727</v>
      </c>
      <c r="C536" t="s">
        <v>904</v>
      </c>
      <c r="D536" t="s">
        <v>866</v>
      </c>
      <c r="E536" t="s">
        <v>94</v>
      </c>
      <c r="F536" s="1">
        <v>2.35</v>
      </c>
      <c r="G536" s="2">
        <v>0.4</v>
      </c>
      <c r="I536" s="1">
        <v>3.29</v>
      </c>
      <c r="J536" s="1" t="s">
        <f>IF(AND(ISNUMBER(F536),ISNUMBER(H536)),ROUND(F536*(1+H536),2),"")</f>
        <v>39</v>
      </c>
      <c r="K536" s="2" t="s">
        <f>IF(AND(ISNUMBER(I536),I536&gt;0,ISNUMBER(J536)),J536/I536-1,"")</f>
        <v>39</v>
      </c>
      <c r="L536" t="s">
        <v>38</v>
      </c>
      <c r="N536" s="1" t="s">
        <f>IF(AND(ISNUMBER(U536),U536&gt;0,ISNUMBER(J536)),ROUND(J536/U536,2),"")</f>
        <v>39</v>
      </c>
      <c r="Q536" t="s">
        <v>166</v>
      </c>
      <c r="R536" t="s">
        <v>39</v>
      </c>
      <c r="S536">
        <v>1011353</v>
      </c>
      <c r="T536">
        <v>1011353</v>
      </c>
      <c r="X536" t="s">
        <v>41</v>
      </c>
      <c r="Z536" s="1">
        <v>3.29</v>
      </c>
      <c r="AA536" s="1" t="s">
        <f>IF(AND(ISNUMBER(Z536),ISNUMBER(I536),I536&gt;0,ISNUMBER(J536)),ROUND(Z536*J536/I536,2),"")</f>
        <v>39</v>
      </c>
      <c r="AB536" t="s">
        <v>42</v>
      </c>
      <c r="AC536" t="s">
        <v>867</v>
      </c>
      <c r="AD536" t="s">
        <v>44</v>
      </c>
      <c r="AE536" t="s">
        <v>45</v>
      </c>
    </row>
    <row r="537">
      <c r="A537">
        <v>812652</v>
      </c>
      <c r="B537">
        <v>812652</v>
      </c>
      <c r="C537" t="s">
        <v>905</v>
      </c>
      <c r="D537" t="s">
        <v>866</v>
      </c>
      <c r="E537" t="s">
        <v>770</v>
      </c>
      <c r="F537" s="1">
        <v>3</v>
      </c>
      <c r="G537" s="2">
        <v>0.335</v>
      </c>
      <c r="I537" s="1">
        <v>4</v>
      </c>
      <c r="J537" s="1" t="s">
        <f>IF(AND(ISNUMBER(F537),ISNUMBER(H537)),ROUND(F537*(1+H537),2),"")</f>
        <v>39</v>
      </c>
      <c r="K537" s="2" t="s">
        <f>IF(AND(ISNUMBER(I537),I537&gt;0,ISNUMBER(J537)),J537/I537-1,"")</f>
        <v>39</v>
      </c>
      <c r="L537" t="s">
        <v>38</v>
      </c>
      <c r="N537" s="1" t="s">
        <f>IF(AND(ISNUMBER(U537),U537&gt;0,ISNUMBER(J537)),ROUND(J537/U537,2),"")</f>
        <v>39</v>
      </c>
      <c r="Q537" t="s">
        <v>166</v>
      </c>
      <c r="R537" t="s">
        <v>39</v>
      </c>
      <c r="S537">
        <v>534520</v>
      </c>
      <c r="T537">
        <v>534520</v>
      </c>
      <c r="X537" t="s">
        <v>41</v>
      </c>
      <c r="Z537" s="1">
        <v>4</v>
      </c>
      <c r="AA537" s="1" t="s">
        <f>IF(AND(ISNUMBER(Z537),ISNUMBER(I537),I537&gt;0,ISNUMBER(J537)),ROUND(Z537*J537/I537,2),"")</f>
        <v>39</v>
      </c>
      <c r="AB537" t="s">
        <v>42</v>
      </c>
      <c r="AC537" t="s">
        <v>906</v>
      </c>
      <c r="AD537" t="s">
        <v>48</v>
      </c>
      <c r="AE537" t="s">
        <v>45</v>
      </c>
    </row>
    <row r="538">
      <c r="A538">
        <v>1146326</v>
      </c>
      <c r="B538">
        <v>1146326</v>
      </c>
      <c r="C538" t="s">
        <v>907</v>
      </c>
      <c r="D538" t="s">
        <v>866</v>
      </c>
      <c r="E538" t="s">
        <v>96</v>
      </c>
      <c r="F538" s="1">
        <v>2.5</v>
      </c>
      <c r="G538" s="2">
        <v>0.4</v>
      </c>
      <c r="I538" s="1">
        <v>3.5</v>
      </c>
      <c r="J538" s="1" t="s">
        <f>IF(AND(ISNUMBER(F538),ISNUMBER(H538)),ROUND(F538*(1+H538),2),"")</f>
        <v>39</v>
      </c>
      <c r="K538" s="2" t="s">
        <f>IF(AND(ISNUMBER(I538),I538&gt;0,ISNUMBER(J538)),J538/I538-1,"")</f>
        <v>39</v>
      </c>
      <c r="L538" t="s">
        <v>38</v>
      </c>
      <c r="N538" s="1" t="s">
        <f>IF(AND(ISNUMBER(U538),U538&gt;0,ISNUMBER(J538)),ROUND(J538/U538,2),"")</f>
        <v>39</v>
      </c>
      <c r="Q538" t="s">
        <v>166</v>
      </c>
      <c r="R538" t="s">
        <v>39</v>
      </c>
      <c r="S538">
        <v>986082</v>
      </c>
      <c r="T538">
        <v>986082</v>
      </c>
      <c r="X538" t="s">
        <v>41</v>
      </c>
      <c r="Z538" s="1">
        <v>3.5</v>
      </c>
      <c r="AA538" s="1" t="s">
        <f>IF(AND(ISNUMBER(Z538),ISNUMBER(I538),I538&gt;0,ISNUMBER(J538)),ROUND(Z538*J538/I538,2),"")</f>
        <v>39</v>
      </c>
      <c r="AB538" t="s">
        <v>42</v>
      </c>
      <c r="AC538" t="s">
        <v>867</v>
      </c>
      <c r="AD538" t="s">
        <v>48</v>
      </c>
      <c r="AE538" t="s">
        <v>45</v>
      </c>
    </row>
    <row r="539">
      <c r="A539">
        <v>1157464</v>
      </c>
      <c r="B539">
        <v>1157464</v>
      </c>
      <c r="C539" t="s">
        <v>908</v>
      </c>
      <c r="D539" t="s">
        <v>866</v>
      </c>
      <c r="E539" t="s">
        <v>100</v>
      </c>
      <c r="F539" s="1">
        <v>2</v>
      </c>
      <c r="G539" s="2">
        <v>0.4</v>
      </c>
      <c r="I539" s="1">
        <v>2.8</v>
      </c>
      <c r="J539" s="1" t="s">
        <f>IF(AND(ISNUMBER(F539),ISNUMBER(H539)),ROUND(F539*(1+H539),2),"")</f>
        <v>39</v>
      </c>
      <c r="K539" s="2" t="s">
        <f>IF(AND(ISNUMBER(I539),I539&gt;0,ISNUMBER(J539)),J539/I539-1,"")</f>
        <v>39</v>
      </c>
      <c r="L539" t="s">
        <v>38</v>
      </c>
      <c r="M539" s="1">
        <v>2.8</v>
      </c>
      <c r="N539" s="1" t="s">
        <f>IF(AND(ISNUMBER(U539),U539&gt;0,ISNUMBER(J539)),ROUND(J539/U539,2),"")</f>
        <v>39</v>
      </c>
      <c r="Q539" t="s">
        <v>166</v>
      </c>
      <c r="R539" t="s">
        <v>39</v>
      </c>
      <c r="S539">
        <v>1001265</v>
      </c>
      <c r="T539">
        <v>1001265</v>
      </c>
      <c r="U539" s="3">
        <v>1</v>
      </c>
      <c r="X539" t="s">
        <v>41</v>
      </c>
      <c r="Z539" s="1">
        <v>2.8</v>
      </c>
      <c r="AA539" s="1" t="s">
        <f>IF(AND(ISNUMBER(Z539),ISNUMBER(I539),I539&gt;0,ISNUMBER(J539)),ROUND(Z539*J539/I539,2),"")</f>
        <v>39</v>
      </c>
      <c r="AB539" t="s">
        <v>42</v>
      </c>
      <c r="AC539" t="s">
        <v>867</v>
      </c>
      <c r="AD539" t="s">
        <v>48</v>
      </c>
      <c r="AE539" t="s">
        <v>45</v>
      </c>
    </row>
    <row r="540">
      <c r="A540">
        <v>805788</v>
      </c>
      <c r="B540">
        <v>805788</v>
      </c>
      <c r="C540" t="s">
        <v>909</v>
      </c>
      <c r="D540" t="s">
        <v>866</v>
      </c>
      <c r="E540" t="s">
        <v>96</v>
      </c>
      <c r="F540" s="1">
        <v>4.25</v>
      </c>
      <c r="G540" s="2">
        <v>-0.17647058823529416</v>
      </c>
      <c r="I540" s="1">
        <v>3.5</v>
      </c>
      <c r="J540" s="1" t="s">
        <f>IF(AND(ISNUMBER(F540),ISNUMBER(H540)),ROUND(F540*(1+H540),2),"")</f>
        <v>39</v>
      </c>
      <c r="K540" s="2" t="s">
        <f>IF(AND(ISNUMBER(I540),I540&gt;0,ISNUMBER(J540)),J540/I540-1,"")</f>
        <v>39</v>
      </c>
      <c r="L540" t="s">
        <v>751</v>
      </c>
      <c r="N540" s="1" t="s">
        <f>IF(AND(ISNUMBER(U540),U540&gt;0,ISNUMBER(J540)),ROUND(J540/U540,2),"")</f>
        <v>39</v>
      </c>
      <c r="Q540" t="s">
        <v>166</v>
      </c>
      <c r="R540" t="s">
        <v>39</v>
      </c>
      <c r="S540">
        <v>526844</v>
      </c>
      <c r="T540">
        <v>526844</v>
      </c>
      <c r="X540" t="s">
        <v>41</v>
      </c>
      <c r="AA540" s="1" t="s">
        <f>IF(AND(ISNUMBER(Z540),ISNUMBER(I540),I540&gt;0,ISNUMBER(J540)),ROUND(Z540*J540/I540,2),"")</f>
        <v>39</v>
      </c>
      <c r="AB540" t="s">
        <v>910</v>
      </c>
      <c r="AC540" t="s">
        <v>894</v>
      </c>
      <c r="AD540" t="s">
        <v>48</v>
      </c>
      <c r="AE540" t="s">
        <v>45</v>
      </c>
    </row>
    <row r="541">
      <c r="A541">
        <v>1161320</v>
      </c>
      <c r="B541">
        <v>1161320</v>
      </c>
      <c r="C541" t="s">
        <v>911</v>
      </c>
      <c r="D541" t="s">
        <v>866</v>
      </c>
      <c r="E541" t="s">
        <v>96</v>
      </c>
      <c r="F541" s="1">
        <v>2.5</v>
      </c>
      <c r="G541" s="2">
        <v>0.4</v>
      </c>
      <c r="I541" s="1">
        <v>3.5</v>
      </c>
      <c r="J541" s="1" t="s">
        <f>IF(AND(ISNUMBER(F541),ISNUMBER(H541)),ROUND(F541*(1+H541),2),"")</f>
        <v>39</v>
      </c>
      <c r="K541" s="2" t="s">
        <f>IF(AND(ISNUMBER(I541),I541&gt;0,ISNUMBER(J541)),J541/I541-1,"")</f>
        <v>39</v>
      </c>
      <c r="L541" t="s">
        <v>38</v>
      </c>
      <c r="N541" s="1" t="s">
        <f>IF(AND(ISNUMBER(U541),U541&gt;0,ISNUMBER(J541)),ROUND(J541/U541,2),"")</f>
        <v>39</v>
      </c>
      <c r="Q541" t="s">
        <v>166</v>
      </c>
      <c r="R541" t="s">
        <v>39</v>
      </c>
      <c r="S541">
        <v>1006916</v>
      </c>
      <c r="T541">
        <v>1006916</v>
      </c>
      <c r="X541" t="s">
        <v>41</v>
      </c>
      <c r="Z541" s="1">
        <v>3.5</v>
      </c>
      <c r="AA541" s="1" t="s">
        <f>IF(AND(ISNUMBER(Z541),ISNUMBER(I541),I541&gt;0,ISNUMBER(J541)),ROUND(Z541*J541/I541,2),"")</f>
        <v>39</v>
      </c>
      <c r="AB541" t="s">
        <v>42</v>
      </c>
      <c r="AC541" t="s">
        <v>867</v>
      </c>
      <c r="AD541" t="s">
        <v>44</v>
      </c>
      <c r="AE541" t="s">
        <v>45</v>
      </c>
    </row>
    <row r="542">
      <c r="A542">
        <v>1152204</v>
      </c>
      <c r="B542">
        <v>1152204</v>
      </c>
      <c r="C542" t="s">
        <v>912</v>
      </c>
      <c r="D542" t="s">
        <v>866</v>
      </c>
      <c r="E542" t="s">
        <v>92</v>
      </c>
      <c r="F542" s="1">
        <v>1.75</v>
      </c>
      <c r="G542" s="2">
        <v>0.4</v>
      </c>
      <c r="I542" s="1">
        <v>2.45</v>
      </c>
      <c r="J542" s="1" t="s">
        <f>IF(AND(ISNUMBER(F542),ISNUMBER(H542)),ROUND(F542*(1+H542),2),"")</f>
        <v>39</v>
      </c>
      <c r="K542" s="2" t="s">
        <f>IF(AND(ISNUMBER(I542),I542&gt;0,ISNUMBER(J542)),J542/I542-1,"")</f>
        <v>39</v>
      </c>
      <c r="L542" t="s">
        <v>38</v>
      </c>
      <c r="N542" s="1" t="s">
        <f>IF(AND(ISNUMBER(U542),U542&gt;0,ISNUMBER(J542)),ROUND(J542/U542,2),"")</f>
        <v>39</v>
      </c>
      <c r="Q542" t="s">
        <v>166</v>
      </c>
      <c r="R542" t="s">
        <v>39</v>
      </c>
      <c r="S542">
        <v>994284</v>
      </c>
      <c r="T542">
        <v>994284</v>
      </c>
      <c r="X542" t="s">
        <v>41</v>
      </c>
      <c r="Z542" s="1">
        <v>2.45</v>
      </c>
      <c r="AA542" s="1" t="s">
        <f>IF(AND(ISNUMBER(Z542),ISNUMBER(I542),I542&gt;0,ISNUMBER(J542)),ROUND(Z542*J542/I542,2),"")</f>
        <v>39</v>
      </c>
      <c r="AB542" t="s">
        <v>42</v>
      </c>
      <c r="AC542" t="s">
        <v>867</v>
      </c>
      <c r="AD542" t="s">
        <v>48</v>
      </c>
      <c r="AE542" t="s">
        <v>45</v>
      </c>
    </row>
    <row r="543">
      <c r="A543">
        <v>805964</v>
      </c>
      <c r="B543">
        <v>805964</v>
      </c>
      <c r="C543" t="s">
        <v>913</v>
      </c>
      <c r="D543" t="s">
        <v>866</v>
      </c>
      <c r="E543" t="s">
        <v>100</v>
      </c>
      <c r="F543" s="1">
        <v>4.5</v>
      </c>
      <c r="G543" s="2">
        <v>0.35</v>
      </c>
      <c r="I543" s="1">
        <v>6.08</v>
      </c>
      <c r="J543" s="1" t="s">
        <f>IF(AND(ISNUMBER(F543),ISNUMBER(H543)),ROUND(F543*(1+H543),2),"")</f>
        <v>39</v>
      </c>
      <c r="K543" s="2" t="s">
        <f>IF(AND(ISNUMBER(I543),I543&gt;0,ISNUMBER(J543)),J543/I543-1,"")</f>
        <v>39</v>
      </c>
      <c r="L543" t="s">
        <v>38</v>
      </c>
      <c r="M543" s="1">
        <v>6.08</v>
      </c>
      <c r="N543" s="1" t="s">
        <f>IF(AND(ISNUMBER(U543),U543&gt;0,ISNUMBER(J543)),ROUND(J543/U543,2),"")</f>
        <v>39</v>
      </c>
      <c r="Q543" t="s">
        <v>166</v>
      </c>
      <c r="R543" t="s">
        <v>39</v>
      </c>
      <c r="S543">
        <v>527024</v>
      </c>
      <c r="T543">
        <v>527024</v>
      </c>
      <c r="U543" s="3">
        <v>1</v>
      </c>
      <c r="X543" t="s">
        <v>41</v>
      </c>
      <c r="Z543" s="1">
        <v>6.08</v>
      </c>
      <c r="AA543" s="1" t="s">
        <f>IF(AND(ISNUMBER(Z543),ISNUMBER(I543),I543&gt;0,ISNUMBER(J543)),ROUND(Z543*J543/I543,2),"")</f>
        <v>39</v>
      </c>
      <c r="AB543" t="s">
        <v>42</v>
      </c>
      <c r="AC543" t="s">
        <v>914</v>
      </c>
      <c r="AD543" t="s">
        <v>48</v>
      </c>
      <c r="AE543" t="s">
        <v>45</v>
      </c>
    </row>
    <row r="544">
      <c r="A544">
        <v>805921</v>
      </c>
      <c r="B544">
        <v>805921</v>
      </c>
      <c r="C544" t="s">
        <v>915</v>
      </c>
      <c r="D544" t="s">
        <v>866</v>
      </c>
      <c r="E544" t="s">
        <v>96</v>
      </c>
      <c r="F544" s="1">
        <v>1.75</v>
      </c>
      <c r="G544" s="2">
        <v>0.4285714285714286</v>
      </c>
      <c r="I544" s="1">
        <v>2.5</v>
      </c>
      <c r="J544" s="1" t="s">
        <f>IF(AND(ISNUMBER(F544),ISNUMBER(H544)),ROUND(F544*(1+H544),2),"")</f>
        <v>39</v>
      </c>
      <c r="K544" s="2" t="s">
        <f>IF(AND(ISNUMBER(I544),I544&gt;0,ISNUMBER(J544)),J544/I544-1,"")</f>
        <v>39</v>
      </c>
      <c r="L544" t="s">
        <v>38</v>
      </c>
      <c r="N544" s="1" t="s">
        <f>IF(AND(ISNUMBER(U544),U544&gt;0,ISNUMBER(J544)),ROUND(J544/U544,2),"")</f>
        <v>39</v>
      </c>
      <c r="Q544" t="s">
        <v>166</v>
      </c>
      <c r="R544" t="s">
        <v>39</v>
      </c>
      <c r="S544">
        <v>526981</v>
      </c>
      <c r="T544">
        <v>526981</v>
      </c>
      <c r="X544" t="s">
        <v>41</v>
      </c>
      <c r="Z544" s="1">
        <v>2.5</v>
      </c>
      <c r="AA544" s="1" t="s">
        <f>IF(AND(ISNUMBER(Z544),ISNUMBER(I544),I544&gt;0,ISNUMBER(J544)),ROUND(Z544*J544/I544,2),"")</f>
        <v>39</v>
      </c>
      <c r="AB544" t="s">
        <v>916</v>
      </c>
      <c r="AC544" t="s">
        <v>917</v>
      </c>
      <c r="AD544" t="s">
        <v>48</v>
      </c>
      <c r="AE544" t="s">
        <v>45</v>
      </c>
    </row>
    <row r="545">
      <c r="A545">
        <v>1160556</v>
      </c>
      <c r="B545">
        <v>1160556</v>
      </c>
      <c r="C545" t="s">
        <v>918</v>
      </c>
      <c r="D545" t="s">
        <v>866</v>
      </c>
      <c r="E545" t="s">
        <v>634</v>
      </c>
      <c r="F545" s="1">
        <v>26.73</v>
      </c>
      <c r="G545" s="2">
        <v>0.55</v>
      </c>
      <c r="I545" s="1">
        <v>41.43</v>
      </c>
      <c r="J545" s="1" t="s">
        <f>IF(AND(ISNUMBER(F545),ISNUMBER(H545)),ROUND(F545*(1+H545),2),"")</f>
        <v>39</v>
      </c>
      <c r="K545" s="2" t="s">
        <f>IF(AND(ISNUMBER(I545),I545&gt;0,ISNUMBER(J545)),J545/I545-1,"")</f>
        <v>39</v>
      </c>
      <c r="L545" t="s">
        <v>38</v>
      </c>
      <c r="N545" s="1" t="s">
        <f>IF(AND(ISNUMBER(U545),U545&gt;0,ISNUMBER(J545)),ROUND(J545/U545,2),"")</f>
        <v>39</v>
      </c>
      <c r="Q545" t="s">
        <v>166</v>
      </c>
      <c r="R545" t="s">
        <v>39</v>
      </c>
      <c r="S545">
        <v>1005875</v>
      </c>
      <c r="T545">
        <v>1005875</v>
      </c>
      <c r="X545" t="s">
        <v>41</v>
      </c>
      <c r="Z545" s="1">
        <v>41.43</v>
      </c>
      <c r="AA545" s="1" t="s">
        <f>IF(AND(ISNUMBER(Z545),ISNUMBER(I545),I545&gt;0,ISNUMBER(J545)),ROUND(Z545*J545/I545,2),"")</f>
        <v>39</v>
      </c>
      <c r="AB545" t="s">
        <v>42</v>
      </c>
      <c r="AC545" t="s">
        <v>919</v>
      </c>
      <c r="AD545" t="s">
        <v>44</v>
      </c>
      <c r="AE545" t="s">
        <v>45</v>
      </c>
    </row>
    <row r="546">
      <c r="A546">
        <v>1154521</v>
      </c>
      <c r="B546">
        <v>1154521</v>
      </c>
      <c r="C546" t="s">
        <v>920</v>
      </c>
      <c r="D546" t="s">
        <v>866</v>
      </c>
      <c r="E546" t="s">
        <v>624</v>
      </c>
      <c r="F546" s="1">
        <v>14</v>
      </c>
      <c r="G546" s="2">
        <v>0.4</v>
      </c>
      <c r="I546" s="1">
        <v>19.6</v>
      </c>
      <c r="J546" s="1" t="s">
        <f>IF(AND(ISNUMBER(F546),ISNUMBER(H546)),ROUND(F546*(1+H546),2),"")</f>
        <v>39</v>
      </c>
      <c r="K546" s="2" t="s">
        <f>IF(AND(ISNUMBER(I546),I546&gt;0,ISNUMBER(J546)),J546/I546-1,"")</f>
        <v>39</v>
      </c>
      <c r="L546" t="s">
        <v>38</v>
      </c>
      <c r="M546" s="1">
        <v>26.13</v>
      </c>
      <c r="N546" s="1" t="s">
        <f>IF(AND(ISNUMBER(U546),U546&gt;0,ISNUMBER(J546)),ROUND(J546/U546,2),"")</f>
        <v>39</v>
      </c>
      <c r="Q546" t="s">
        <v>166</v>
      </c>
      <c r="R546" t="s">
        <v>39</v>
      </c>
      <c r="S546">
        <v>997778</v>
      </c>
      <c r="T546">
        <v>997778</v>
      </c>
      <c r="U546" s="3">
        <v>0.75</v>
      </c>
      <c r="X546" t="s">
        <v>41</v>
      </c>
      <c r="Z546" s="1">
        <v>19.6</v>
      </c>
      <c r="AA546" s="1" t="s">
        <f>IF(AND(ISNUMBER(Z546),ISNUMBER(I546),I546&gt;0,ISNUMBER(J546)),ROUND(Z546*J546/I546,2),"")</f>
        <v>39</v>
      </c>
      <c r="AB546" t="s">
        <v>42</v>
      </c>
      <c r="AC546" t="s">
        <v>867</v>
      </c>
      <c r="AD546" t="s">
        <v>44</v>
      </c>
      <c r="AE546" t="s">
        <v>45</v>
      </c>
    </row>
    <row r="547">
      <c r="A547">
        <v>1154522</v>
      </c>
      <c r="B547">
        <v>1154522</v>
      </c>
      <c r="C547" t="s">
        <v>921</v>
      </c>
      <c r="D547" t="s">
        <v>866</v>
      </c>
      <c r="E547" t="s">
        <v>624</v>
      </c>
      <c r="F547" s="1">
        <v>14</v>
      </c>
      <c r="G547" s="2">
        <v>0.4</v>
      </c>
      <c r="I547" s="1">
        <v>19.6</v>
      </c>
      <c r="J547" s="1" t="s">
        <f>IF(AND(ISNUMBER(F547),ISNUMBER(H547)),ROUND(F547*(1+H547),2),"")</f>
        <v>39</v>
      </c>
      <c r="K547" s="2" t="s">
        <f>IF(AND(ISNUMBER(I547),I547&gt;0,ISNUMBER(J547)),J547/I547-1,"")</f>
        <v>39</v>
      </c>
      <c r="L547" t="s">
        <v>38</v>
      </c>
      <c r="M547" s="1">
        <v>26.13</v>
      </c>
      <c r="N547" s="1" t="s">
        <f>IF(AND(ISNUMBER(U547),U547&gt;0,ISNUMBER(J547)),ROUND(J547/U547,2),"")</f>
        <v>39</v>
      </c>
      <c r="Q547" t="s">
        <v>166</v>
      </c>
      <c r="R547" t="s">
        <v>39</v>
      </c>
      <c r="S547">
        <v>997779</v>
      </c>
      <c r="T547">
        <v>997779</v>
      </c>
      <c r="U547" s="3">
        <v>0.75</v>
      </c>
      <c r="X547" t="s">
        <v>41</v>
      </c>
      <c r="Z547" s="1">
        <v>19.6</v>
      </c>
      <c r="AA547" s="1" t="s">
        <f>IF(AND(ISNUMBER(Z547),ISNUMBER(I547),I547&gt;0,ISNUMBER(J547)),ROUND(Z547*J547/I547,2),"")</f>
        <v>39</v>
      </c>
      <c r="AB547" t="s">
        <v>42</v>
      </c>
      <c r="AC547" t="s">
        <v>867</v>
      </c>
      <c r="AD547" t="s">
        <v>44</v>
      </c>
      <c r="AE547" t="s">
        <v>45</v>
      </c>
    </row>
    <row r="548">
      <c r="A548">
        <v>1140514</v>
      </c>
      <c r="B548">
        <v>1140514</v>
      </c>
      <c r="C548" t="s">
        <v>922</v>
      </c>
      <c r="D548" t="s">
        <v>866</v>
      </c>
      <c r="E548" t="s">
        <v>624</v>
      </c>
      <c r="F548" s="1">
        <v>12</v>
      </c>
      <c r="G548" s="2">
        <v>0.4</v>
      </c>
      <c r="I548" s="1">
        <v>16.8</v>
      </c>
      <c r="J548" s="1" t="s">
        <f>IF(AND(ISNUMBER(F548),ISNUMBER(H548)),ROUND(F548*(1+H548),2),"")</f>
        <v>39</v>
      </c>
      <c r="K548" s="2" t="s">
        <f>IF(AND(ISNUMBER(I548),I548&gt;0,ISNUMBER(J548)),J548/I548-1,"")</f>
        <v>39</v>
      </c>
      <c r="L548" t="s">
        <v>38</v>
      </c>
      <c r="M548" s="1">
        <v>22.4</v>
      </c>
      <c r="N548" s="1" t="s">
        <f>IF(AND(ISNUMBER(U548),U548&gt;0,ISNUMBER(J548)),ROUND(J548/U548,2),"")</f>
        <v>39</v>
      </c>
      <c r="Q548" t="s">
        <v>166</v>
      </c>
      <c r="R548" t="s">
        <v>39</v>
      </c>
      <c r="S548">
        <v>978736</v>
      </c>
      <c r="T548">
        <v>978736</v>
      </c>
      <c r="U548" s="3">
        <v>0.75</v>
      </c>
      <c r="X548" t="s">
        <v>41</v>
      </c>
      <c r="Z548" s="1">
        <v>16.8</v>
      </c>
      <c r="AA548" s="1" t="s">
        <f>IF(AND(ISNUMBER(Z548),ISNUMBER(I548),I548&gt;0,ISNUMBER(J548)),ROUND(Z548*J548/I548,2),"")</f>
        <v>39</v>
      </c>
      <c r="AB548" t="s">
        <v>42</v>
      </c>
      <c r="AC548" t="s">
        <v>867</v>
      </c>
      <c r="AD548" t="s">
        <v>48</v>
      </c>
      <c r="AE548" t="s">
        <v>45</v>
      </c>
    </row>
    <row r="549">
      <c r="A549">
        <v>805735</v>
      </c>
      <c r="B549">
        <v>805735</v>
      </c>
      <c r="C549" t="s">
        <v>923</v>
      </c>
      <c r="D549" t="s">
        <v>866</v>
      </c>
      <c r="E549" t="s">
        <v>96</v>
      </c>
      <c r="J549" s="1" t="s">
        <f>IF(AND(ISNUMBER(F549),ISNUMBER(H549)),ROUND(F549*(1+H549),2),"")</f>
        <v>39</v>
      </c>
      <c r="K549" s="2" t="s">
        <f>IF(AND(ISNUMBER(I549),I549&gt;0,ISNUMBER(J549)),J549/I549-1,"")</f>
        <v>39</v>
      </c>
      <c r="L549" t="s">
        <v>38</v>
      </c>
      <c r="N549" s="1" t="s">
        <f>IF(AND(ISNUMBER(U549),U549&gt;0,ISNUMBER(J549)),ROUND(J549/U549,2),"")</f>
        <v>39</v>
      </c>
      <c r="Q549" t="s">
        <v>166</v>
      </c>
      <c r="R549" t="s">
        <v>39</v>
      </c>
      <c r="S549">
        <v>526790</v>
      </c>
      <c r="T549">
        <v>526790</v>
      </c>
      <c r="X549" t="s">
        <v>41</v>
      </c>
      <c r="AA549" s="1" t="s">
        <f>IF(AND(ISNUMBER(Z549),ISNUMBER(I549),I549&gt;0,ISNUMBER(J549)),ROUND(Z549*J549/I549,2),"")</f>
        <v>39</v>
      </c>
      <c r="AB549" t="s">
        <v>167</v>
      </c>
      <c r="AC549" t="s">
        <v>924</v>
      </c>
      <c r="AD549" t="s">
        <v>48</v>
      </c>
      <c r="AE549" t="s">
        <v>45</v>
      </c>
    </row>
    <row r="550">
      <c r="A550">
        <v>805733</v>
      </c>
      <c r="B550">
        <v>805733</v>
      </c>
      <c r="C550" t="s">
        <v>925</v>
      </c>
      <c r="D550" t="s">
        <v>866</v>
      </c>
      <c r="E550" t="s">
        <v>96</v>
      </c>
      <c r="J550" s="1" t="s">
        <f>IF(AND(ISNUMBER(F550),ISNUMBER(H550)),ROUND(F550*(1+H550),2),"")</f>
        <v>39</v>
      </c>
      <c r="K550" s="2" t="s">
        <f>IF(AND(ISNUMBER(I550),I550&gt;0,ISNUMBER(J550)),J550/I550-1,"")</f>
        <v>39</v>
      </c>
      <c r="L550" t="s">
        <v>38</v>
      </c>
      <c r="N550" s="1" t="s">
        <f>IF(AND(ISNUMBER(U550),U550&gt;0,ISNUMBER(J550)),ROUND(J550/U550,2),"")</f>
        <v>39</v>
      </c>
      <c r="Q550" t="s">
        <v>166</v>
      </c>
      <c r="R550" t="s">
        <v>39</v>
      </c>
      <c r="S550">
        <v>526788</v>
      </c>
      <c r="T550">
        <v>526788</v>
      </c>
      <c r="X550" t="s">
        <v>41</v>
      </c>
      <c r="AA550" s="1" t="s">
        <f>IF(AND(ISNUMBER(Z550),ISNUMBER(I550),I550&gt;0,ISNUMBER(J550)),ROUND(Z550*J550/I550,2),"")</f>
        <v>39</v>
      </c>
      <c r="AB550" t="s">
        <v>167</v>
      </c>
      <c r="AC550" t="s">
        <v>924</v>
      </c>
      <c r="AD550" t="s">
        <v>48</v>
      </c>
      <c r="AE550" t="s">
        <v>45</v>
      </c>
    </row>
    <row r="551">
      <c r="A551">
        <v>805746</v>
      </c>
      <c r="B551">
        <v>805746</v>
      </c>
      <c r="C551" t="s">
        <v>926</v>
      </c>
      <c r="D551" t="s">
        <v>866</v>
      </c>
      <c r="E551" t="s">
        <v>96</v>
      </c>
      <c r="J551" s="1" t="s">
        <f>IF(AND(ISNUMBER(F551),ISNUMBER(H551)),ROUND(F551*(1+H551),2),"")</f>
        <v>39</v>
      </c>
      <c r="K551" s="2" t="s">
        <f>IF(AND(ISNUMBER(I551),I551&gt;0,ISNUMBER(J551)),J551/I551-1,"")</f>
        <v>39</v>
      </c>
      <c r="L551" t="s">
        <v>38</v>
      </c>
      <c r="N551" s="1" t="s">
        <f>IF(AND(ISNUMBER(U551),U551&gt;0,ISNUMBER(J551)),ROUND(J551/U551,2),"")</f>
        <v>39</v>
      </c>
      <c r="Q551" t="s">
        <v>166</v>
      </c>
      <c r="R551" t="s">
        <v>39</v>
      </c>
      <c r="S551">
        <v>526801</v>
      </c>
      <c r="T551">
        <v>526801</v>
      </c>
      <c r="X551" t="s">
        <v>41</v>
      </c>
      <c r="AA551" s="1" t="s">
        <f>IF(AND(ISNUMBER(Z551),ISNUMBER(I551),I551&gt;0,ISNUMBER(J551)),ROUND(Z551*J551/I551,2),"")</f>
        <v>39</v>
      </c>
      <c r="AB551" t="s">
        <v>167</v>
      </c>
      <c r="AC551" t="s">
        <v>924</v>
      </c>
      <c r="AD551" t="s">
        <v>48</v>
      </c>
      <c r="AE551" t="s">
        <v>45</v>
      </c>
    </row>
    <row r="552">
      <c r="A552">
        <v>825842</v>
      </c>
      <c r="B552">
        <v>825842</v>
      </c>
      <c r="C552" t="s">
        <v>927</v>
      </c>
      <c r="D552" t="s">
        <v>866</v>
      </c>
      <c r="E552" t="s">
        <v>63</v>
      </c>
      <c r="J552" s="1" t="s">
        <f>IF(AND(ISNUMBER(F552),ISNUMBER(H552)),ROUND(F552*(1+H552),2),"")</f>
        <v>39</v>
      </c>
      <c r="K552" s="2" t="s">
        <f>IF(AND(ISNUMBER(I552),I552&gt;0,ISNUMBER(J552)),J552/I552-1,"")</f>
        <v>39</v>
      </c>
      <c r="L552" t="s">
        <v>38</v>
      </c>
      <c r="N552" s="1" t="s">
        <f>IF(AND(ISNUMBER(U552),U552&gt;0,ISNUMBER(J552)),ROUND(J552/U552,2),"")</f>
        <v>39</v>
      </c>
      <c r="Q552" t="s">
        <v>166</v>
      </c>
      <c r="R552" t="s">
        <v>39</v>
      </c>
      <c r="S552">
        <v>549821</v>
      </c>
      <c r="T552">
        <v>549821</v>
      </c>
      <c r="X552" t="s">
        <v>41</v>
      </c>
      <c r="AA552" s="1" t="s">
        <f>IF(AND(ISNUMBER(Z552),ISNUMBER(I552),I552&gt;0,ISNUMBER(J552)),ROUND(Z552*J552/I552,2),"")</f>
        <v>39</v>
      </c>
      <c r="AB552" t="s">
        <v>167</v>
      </c>
      <c r="AC552" t="s">
        <v>924</v>
      </c>
      <c r="AD552" t="s">
        <v>48</v>
      </c>
      <c r="AE552" t="s">
        <v>45</v>
      </c>
    </row>
    <row r="553">
      <c r="A553">
        <v>805732</v>
      </c>
      <c r="B553">
        <v>805732</v>
      </c>
      <c r="C553" t="s">
        <v>928</v>
      </c>
      <c r="D553" t="s">
        <v>866</v>
      </c>
      <c r="E553" t="s">
        <v>96</v>
      </c>
      <c r="J553" s="1" t="s">
        <f>IF(AND(ISNUMBER(F553),ISNUMBER(H553)),ROUND(F553*(1+H553),2),"")</f>
        <v>39</v>
      </c>
      <c r="K553" s="2" t="s">
        <f>IF(AND(ISNUMBER(I553),I553&gt;0,ISNUMBER(J553)),J553/I553-1,"")</f>
        <v>39</v>
      </c>
      <c r="L553" t="s">
        <v>38</v>
      </c>
      <c r="N553" s="1" t="s">
        <f>IF(AND(ISNUMBER(U553),U553&gt;0,ISNUMBER(J553)),ROUND(J553/U553,2),"")</f>
        <v>39</v>
      </c>
      <c r="Q553" t="s">
        <v>166</v>
      </c>
      <c r="R553" t="s">
        <v>39</v>
      </c>
      <c r="S553">
        <v>526787</v>
      </c>
      <c r="T553">
        <v>526787</v>
      </c>
      <c r="X553" t="s">
        <v>41</v>
      </c>
      <c r="AA553" s="1" t="s">
        <f>IF(AND(ISNUMBER(Z553),ISNUMBER(I553),I553&gt;0,ISNUMBER(J553)),ROUND(Z553*J553/I553,2),"")</f>
        <v>39</v>
      </c>
      <c r="AB553" t="s">
        <v>167</v>
      </c>
      <c r="AC553" t="s">
        <v>924</v>
      </c>
      <c r="AD553" t="s">
        <v>48</v>
      </c>
      <c r="AE553" t="s">
        <v>45</v>
      </c>
    </row>
    <row r="554">
      <c r="A554">
        <v>805737</v>
      </c>
      <c r="B554">
        <v>805737</v>
      </c>
      <c r="C554" t="s">
        <v>929</v>
      </c>
      <c r="D554" t="s">
        <v>866</v>
      </c>
      <c r="E554" t="s">
        <v>96</v>
      </c>
      <c r="J554" s="1" t="s">
        <f>IF(AND(ISNUMBER(F554),ISNUMBER(H554)),ROUND(F554*(1+H554),2),"")</f>
        <v>39</v>
      </c>
      <c r="K554" s="2" t="s">
        <f>IF(AND(ISNUMBER(I554),I554&gt;0,ISNUMBER(J554)),J554/I554-1,"")</f>
        <v>39</v>
      </c>
      <c r="L554" t="s">
        <v>38</v>
      </c>
      <c r="N554" s="1" t="s">
        <f>IF(AND(ISNUMBER(U554),U554&gt;0,ISNUMBER(J554)),ROUND(J554/U554,2),"")</f>
        <v>39</v>
      </c>
      <c r="Q554" t="s">
        <v>166</v>
      </c>
      <c r="R554" t="s">
        <v>39</v>
      </c>
      <c r="S554">
        <v>526792</v>
      </c>
      <c r="T554">
        <v>526792</v>
      </c>
      <c r="X554" t="s">
        <v>41</v>
      </c>
      <c r="AA554" s="1" t="s">
        <f>IF(AND(ISNUMBER(Z554),ISNUMBER(I554),I554&gt;0,ISNUMBER(J554)),ROUND(Z554*J554/I554,2),"")</f>
        <v>39</v>
      </c>
      <c r="AB554" t="s">
        <v>167</v>
      </c>
      <c r="AC554" t="s">
        <v>924</v>
      </c>
      <c r="AD554" t="s">
        <v>48</v>
      </c>
      <c r="AE554" t="s">
        <v>45</v>
      </c>
    </row>
    <row r="555">
      <c r="A555">
        <v>805736</v>
      </c>
      <c r="B555">
        <v>805736</v>
      </c>
      <c r="C555" t="s">
        <v>930</v>
      </c>
      <c r="D555" t="s">
        <v>866</v>
      </c>
      <c r="E555" t="s">
        <v>96</v>
      </c>
      <c r="J555" s="1" t="s">
        <f>IF(AND(ISNUMBER(F555),ISNUMBER(H555)),ROUND(F555*(1+H555),2),"")</f>
        <v>39</v>
      </c>
      <c r="K555" s="2" t="s">
        <f>IF(AND(ISNUMBER(I555),I555&gt;0,ISNUMBER(J555)),J555/I555-1,"")</f>
        <v>39</v>
      </c>
      <c r="L555" t="s">
        <v>38</v>
      </c>
      <c r="N555" s="1" t="s">
        <f>IF(AND(ISNUMBER(U555),U555&gt;0,ISNUMBER(J555)),ROUND(J555/U555,2),"")</f>
        <v>39</v>
      </c>
      <c r="Q555" t="s">
        <v>166</v>
      </c>
      <c r="R555" t="s">
        <v>39</v>
      </c>
      <c r="S555">
        <v>526791</v>
      </c>
      <c r="T555">
        <v>526791</v>
      </c>
      <c r="X555" t="s">
        <v>41</v>
      </c>
      <c r="AA555" s="1" t="s">
        <f>IF(AND(ISNUMBER(Z555),ISNUMBER(I555),I555&gt;0,ISNUMBER(J555)),ROUND(Z555*J555/I555,2),"")</f>
        <v>39</v>
      </c>
      <c r="AB555" t="s">
        <v>167</v>
      </c>
      <c r="AC555" t="s">
        <v>924</v>
      </c>
      <c r="AD555" t="s">
        <v>48</v>
      </c>
      <c r="AE555" t="s">
        <v>45</v>
      </c>
    </row>
    <row r="556">
      <c r="A556">
        <v>805739</v>
      </c>
      <c r="B556">
        <v>805739</v>
      </c>
      <c r="C556" t="s">
        <v>931</v>
      </c>
      <c r="D556" t="s">
        <v>866</v>
      </c>
      <c r="E556" t="s">
        <v>96</v>
      </c>
      <c r="J556" s="1" t="s">
        <f>IF(AND(ISNUMBER(F556),ISNUMBER(H556)),ROUND(F556*(1+H556),2),"")</f>
        <v>39</v>
      </c>
      <c r="K556" s="2" t="s">
        <f>IF(AND(ISNUMBER(I556),I556&gt;0,ISNUMBER(J556)),J556/I556-1,"")</f>
        <v>39</v>
      </c>
      <c r="L556" t="s">
        <v>38</v>
      </c>
      <c r="N556" s="1" t="s">
        <f>IF(AND(ISNUMBER(U556),U556&gt;0,ISNUMBER(J556)),ROUND(J556/U556,2),"")</f>
        <v>39</v>
      </c>
      <c r="Q556" t="s">
        <v>166</v>
      </c>
      <c r="R556" t="s">
        <v>39</v>
      </c>
      <c r="S556">
        <v>526794</v>
      </c>
      <c r="T556">
        <v>526794</v>
      </c>
      <c r="X556" t="s">
        <v>41</v>
      </c>
      <c r="AA556" s="1" t="s">
        <f>IF(AND(ISNUMBER(Z556),ISNUMBER(I556),I556&gt;0,ISNUMBER(J556)),ROUND(Z556*J556/I556,2),"")</f>
        <v>39</v>
      </c>
      <c r="AB556" t="s">
        <v>167</v>
      </c>
      <c r="AC556" t="s">
        <v>924</v>
      </c>
      <c r="AD556" t="s">
        <v>48</v>
      </c>
      <c r="AE556" t="s">
        <v>45</v>
      </c>
    </row>
    <row r="557">
      <c r="A557">
        <v>825841</v>
      </c>
      <c r="B557">
        <v>825841</v>
      </c>
      <c r="C557" t="s">
        <v>932</v>
      </c>
      <c r="D557" t="s">
        <v>866</v>
      </c>
      <c r="E557" t="s">
        <v>63</v>
      </c>
      <c r="J557" s="1" t="s">
        <f>IF(AND(ISNUMBER(F557),ISNUMBER(H557)),ROUND(F557*(1+H557),2),"")</f>
        <v>39</v>
      </c>
      <c r="K557" s="2" t="s">
        <f>IF(AND(ISNUMBER(I557),I557&gt;0,ISNUMBER(J557)),J557/I557-1,"")</f>
        <v>39</v>
      </c>
      <c r="L557" t="s">
        <v>38</v>
      </c>
      <c r="N557" s="1" t="s">
        <f>IF(AND(ISNUMBER(U557),U557&gt;0,ISNUMBER(J557)),ROUND(J557/U557,2),"")</f>
        <v>39</v>
      </c>
      <c r="Q557" t="s">
        <v>166</v>
      </c>
      <c r="R557" t="s">
        <v>39</v>
      </c>
      <c r="S557">
        <v>549820</v>
      </c>
      <c r="T557">
        <v>549820</v>
      </c>
      <c r="X557" t="s">
        <v>41</v>
      </c>
      <c r="AA557" s="1" t="s">
        <f>IF(AND(ISNUMBER(Z557),ISNUMBER(I557),I557&gt;0,ISNUMBER(J557)),ROUND(Z557*J557/I557,2),"")</f>
        <v>39</v>
      </c>
      <c r="AB557" t="s">
        <v>167</v>
      </c>
      <c r="AC557" t="s">
        <v>924</v>
      </c>
      <c r="AD557" t="s">
        <v>48</v>
      </c>
      <c r="AE557" t="s">
        <v>45</v>
      </c>
    </row>
    <row r="558">
      <c r="A558">
        <v>805740</v>
      </c>
      <c r="B558">
        <v>805740</v>
      </c>
      <c r="C558" t="s">
        <v>933</v>
      </c>
      <c r="D558" t="s">
        <v>866</v>
      </c>
      <c r="E558" t="s">
        <v>96</v>
      </c>
      <c r="J558" s="1" t="s">
        <f>IF(AND(ISNUMBER(F558),ISNUMBER(H558)),ROUND(F558*(1+H558),2),"")</f>
        <v>39</v>
      </c>
      <c r="K558" s="2" t="s">
        <f>IF(AND(ISNUMBER(I558),I558&gt;0,ISNUMBER(J558)),J558/I558-1,"")</f>
        <v>39</v>
      </c>
      <c r="L558" t="s">
        <v>38</v>
      </c>
      <c r="N558" s="1" t="s">
        <f>IF(AND(ISNUMBER(U558),U558&gt;0,ISNUMBER(J558)),ROUND(J558/U558,2),"")</f>
        <v>39</v>
      </c>
      <c r="Q558" t="s">
        <v>166</v>
      </c>
      <c r="R558" t="s">
        <v>39</v>
      </c>
      <c r="S558">
        <v>526795</v>
      </c>
      <c r="T558">
        <v>526795</v>
      </c>
      <c r="X558" t="s">
        <v>41</v>
      </c>
      <c r="AA558" s="1" t="s">
        <f>IF(AND(ISNUMBER(Z558),ISNUMBER(I558),I558&gt;0,ISNUMBER(J558)),ROUND(Z558*J558/I558,2),"")</f>
        <v>39</v>
      </c>
      <c r="AB558" t="s">
        <v>167</v>
      </c>
      <c r="AC558" t="s">
        <v>924</v>
      </c>
      <c r="AD558" t="s">
        <v>48</v>
      </c>
      <c r="AE558" t="s">
        <v>45</v>
      </c>
    </row>
    <row r="559">
      <c r="A559">
        <v>805741</v>
      </c>
      <c r="B559">
        <v>805741</v>
      </c>
      <c r="C559" t="s">
        <v>934</v>
      </c>
      <c r="D559" t="s">
        <v>866</v>
      </c>
      <c r="E559" t="s">
        <v>96</v>
      </c>
      <c r="J559" s="1" t="s">
        <f>IF(AND(ISNUMBER(F559),ISNUMBER(H559)),ROUND(F559*(1+H559),2),"")</f>
        <v>39</v>
      </c>
      <c r="K559" s="2" t="s">
        <f>IF(AND(ISNUMBER(I559),I559&gt;0,ISNUMBER(J559)),J559/I559-1,"")</f>
        <v>39</v>
      </c>
      <c r="L559" t="s">
        <v>38</v>
      </c>
      <c r="N559" s="1" t="s">
        <f>IF(AND(ISNUMBER(U559),U559&gt;0,ISNUMBER(J559)),ROUND(J559/U559,2),"")</f>
        <v>39</v>
      </c>
      <c r="Q559" t="s">
        <v>166</v>
      </c>
      <c r="R559" t="s">
        <v>39</v>
      </c>
      <c r="S559">
        <v>526796</v>
      </c>
      <c r="T559">
        <v>526796</v>
      </c>
      <c r="X559" t="s">
        <v>41</v>
      </c>
      <c r="AA559" s="1" t="s">
        <f>IF(AND(ISNUMBER(Z559),ISNUMBER(I559),I559&gt;0,ISNUMBER(J559)),ROUND(Z559*J559/I559,2),"")</f>
        <v>39</v>
      </c>
      <c r="AB559" t="s">
        <v>167</v>
      </c>
      <c r="AC559" t="s">
        <v>924</v>
      </c>
      <c r="AD559" t="s">
        <v>48</v>
      </c>
      <c r="AE559" t="s">
        <v>45</v>
      </c>
    </row>
    <row r="560">
      <c r="A560">
        <v>805742</v>
      </c>
      <c r="B560">
        <v>805742</v>
      </c>
      <c r="C560" t="s">
        <v>935</v>
      </c>
      <c r="D560" t="s">
        <v>866</v>
      </c>
      <c r="E560" t="s">
        <v>96</v>
      </c>
      <c r="J560" s="1" t="s">
        <f>IF(AND(ISNUMBER(F560),ISNUMBER(H560)),ROUND(F560*(1+H560),2),"")</f>
        <v>39</v>
      </c>
      <c r="K560" s="2" t="s">
        <f>IF(AND(ISNUMBER(I560),I560&gt;0,ISNUMBER(J560)),J560/I560-1,"")</f>
        <v>39</v>
      </c>
      <c r="L560" t="s">
        <v>38</v>
      </c>
      <c r="N560" s="1" t="s">
        <f>IF(AND(ISNUMBER(U560),U560&gt;0,ISNUMBER(J560)),ROUND(J560/U560,2),"")</f>
        <v>39</v>
      </c>
      <c r="Q560" t="s">
        <v>166</v>
      </c>
      <c r="R560" t="s">
        <v>39</v>
      </c>
      <c r="S560">
        <v>526797</v>
      </c>
      <c r="T560">
        <v>526797</v>
      </c>
      <c r="X560" t="s">
        <v>41</v>
      </c>
      <c r="AA560" s="1" t="s">
        <f>IF(AND(ISNUMBER(Z560),ISNUMBER(I560),I560&gt;0,ISNUMBER(J560)),ROUND(Z560*J560/I560,2),"")</f>
        <v>39</v>
      </c>
      <c r="AB560" t="s">
        <v>167</v>
      </c>
      <c r="AC560" t="s">
        <v>924</v>
      </c>
      <c r="AD560" t="s">
        <v>48</v>
      </c>
      <c r="AE560" t="s">
        <v>45</v>
      </c>
    </row>
    <row r="561">
      <c r="A561">
        <v>805744</v>
      </c>
      <c r="B561">
        <v>805744</v>
      </c>
      <c r="C561" t="s">
        <v>936</v>
      </c>
      <c r="D561" t="s">
        <v>866</v>
      </c>
      <c r="E561" t="s">
        <v>96</v>
      </c>
      <c r="J561" s="1" t="s">
        <f>IF(AND(ISNUMBER(F561),ISNUMBER(H561)),ROUND(F561*(1+H561),2),"")</f>
        <v>39</v>
      </c>
      <c r="K561" s="2" t="s">
        <f>IF(AND(ISNUMBER(I561),I561&gt;0,ISNUMBER(J561)),J561/I561-1,"")</f>
        <v>39</v>
      </c>
      <c r="L561" t="s">
        <v>38</v>
      </c>
      <c r="N561" s="1" t="s">
        <f>IF(AND(ISNUMBER(U561),U561&gt;0,ISNUMBER(J561)),ROUND(J561/U561,2),"")</f>
        <v>39</v>
      </c>
      <c r="Q561" t="s">
        <v>166</v>
      </c>
      <c r="R561" t="s">
        <v>39</v>
      </c>
      <c r="S561">
        <v>526799</v>
      </c>
      <c r="T561">
        <v>526799</v>
      </c>
      <c r="X561" t="s">
        <v>41</v>
      </c>
      <c r="AA561" s="1" t="s">
        <f>IF(AND(ISNUMBER(Z561),ISNUMBER(I561),I561&gt;0,ISNUMBER(J561)),ROUND(Z561*J561/I561,2),"")</f>
        <v>39</v>
      </c>
      <c r="AB561" t="s">
        <v>167</v>
      </c>
      <c r="AC561" t="s">
        <v>924</v>
      </c>
      <c r="AD561" t="s">
        <v>48</v>
      </c>
      <c r="AE561" t="s">
        <v>45</v>
      </c>
    </row>
    <row r="562">
      <c r="A562">
        <v>805745</v>
      </c>
      <c r="B562">
        <v>805745</v>
      </c>
      <c r="C562" t="s">
        <v>937</v>
      </c>
      <c r="D562" t="s">
        <v>866</v>
      </c>
      <c r="E562" t="s">
        <v>96</v>
      </c>
      <c r="J562" s="1" t="s">
        <f>IF(AND(ISNUMBER(F562),ISNUMBER(H562)),ROUND(F562*(1+H562),2),"")</f>
        <v>39</v>
      </c>
      <c r="K562" s="2" t="s">
        <f>IF(AND(ISNUMBER(I562),I562&gt;0,ISNUMBER(J562)),J562/I562-1,"")</f>
        <v>39</v>
      </c>
      <c r="L562" t="s">
        <v>38</v>
      </c>
      <c r="N562" s="1" t="s">
        <f>IF(AND(ISNUMBER(U562),U562&gt;0,ISNUMBER(J562)),ROUND(J562/U562,2),"")</f>
        <v>39</v>
      </c>
      <c r="Q562" t="s">
        <v>166</v>
      </c>
      <c r="R562" t="s">
        <v>39</v>
      </c>
      <c r="S562">
        <v>526800</v>
      </c>
      <c r="T562">
        <v>526800</v>
      </c>
      <c r="X562" t="s">
        <v>41</v>
      </c>
      <c r="AA562" s="1" t="s">
        <f>IF(AND(ISNUMBER(Z562),ISNUMBER(I562),I562&gt;0,ISNUMBER(J562)),ROUND(Z562*J562/I562,2),"")</f>
        <v>39</v>
      </c>
      <c r="AB562" t="s">
        <v>167</v>
      </c>
      <c r="AC562" t="s">
        <v>924</v>
      </c>
      <c r="AD562" t="s">
        <v>48</v>
      </c>
      <c r="AE562" t="s">
        <v>45</v>
      </c>
    </row>
    <row r="563">
      <c r="A563">
        <v>805747</v>
      </c>
      <c r="B563">
        <v>805747</v>
      </c>
      <c r="C563" t="s">
        <v>938</v>
      </c>
      <c r="D563" t="s">
        <v>866</v>
      </c>
      <c r="E563" t="s">
        <v>96</v>
      </c>
      <c r="J563" s="1" t="s">
        <f>IF(AND(ISNUMBER(F563),ISNUMBER(H563)),ROUND(F563*(1+H563),2),"")</f>
        <v>39</v>
      </c>
      <c r="K563" s="2" t="s">
        <f>IF(AND(ISNUMBER(I563),I563&gt;0,ISNUMBER(J563)),J563/I563-1,"")</f>
        <v>39</v>
      </c>
      <c r="L563" t="s">
        <v>38</v>
      </c>
      <c r="N563" s="1" t="s">
        <f>IF(AND(ISNUMBER(U563),U563&gt;0,ISNUMBER(J563)),ROUND(J563/U563,2),"")</f>
        <v>39</v>
      </c>
      <c r="Q563" t="s">
        <v>166</v>
      </c>
      <c r="R563" t="s">
        <v>39</v>
      </c>
      <c r="S563">
        <v>526802</v>
      </c>
      <c r="T563">
        <v>526802</v>
      </c>
      <c r="X563" t="s">
        <v>41</v>
      </c>
      <c r="AA563" s="1" t="s">
        <f>IF(AND(ISNUMBER(Z563),ISNUMBER(I563),I563&gt;0,ISNUMBER(J563)),ROUND(Z563*J563/I563,2),"")</f>
        <v>39</v>
      </c>
      <c r="AB563" t="s">
        <v>167</v>
      </c>
      <c r="AC563" t="s">
        <v>924</v>
      </c>
      <c r="AD563" t="s">
        <v>48</v>
      </c>
      <c r="AE563" t="s">
        <v>45</v>
      </c>
    </row>
    <row r="564">
      <c r="A564">
        <v>1157463</v>
      </c>
      <c r="B564">
        <v>1157463</v>
      </c>
      <c r="C564" t="s">
        <v>939</v>
      </c>
      <c r="D564" t="s">
        <v>866</v>
      </c>
      <c r="E564" t="s">
        <v>92</v>
      </c>
      <c r="F564" s="1">
        <v>2</v>
      </c>
      <c r="G564" s="2">
        <v>0.4</v>
      </c>
      <c r="I564" s="1">
        <v>2.8</v>
      </c>
      <c r="J564" s="1" t="s">
        <f>IF(AND(ISNUMBER(F564),ISNUMBER(H564)),ROUND(F564*(1+H564),2),"")</f>
        <v>39</v>
      </c>
      <c r="K564" s="2" t="s">
        <f>IF(AND(ISNUMBER(I564),I564&gt;0,ISNUMBER(J564)),J564/I564-1,"")</f>
        <v>39</v>
      </c>
      <c r="L564" t="s">
        <v>38</v>
      </c>
      <c r="N564" s="1" t="s">
        <f>IF(AND(ISNUMBER(U564),U564&gt;0,ISNUMBER(J564)),ROUND(J564/U564,2),"")</f>
        <v>39</v>
      </c>
      <c r="Q564" t="s">
        <v>166</v>
      </c>
      <c r="R564" t="s">
        <v>39</v>
      </c>
      <c r="S564">
        <v>1001264</v>
      </c>
      <c r="T564">
        <v>1001264</v>
      </c>
      <c r="X564" t="s">
        <v>41</v>
      </c>
      <c r="Z564" s="1">
        <v>2.8</v>
      </c>
      <c r="AA564" s="1" t="s">
        <f>IF(AND(ISNUMBER(Z564),ISNUMBER(I564),I564&gt;0,ISNUMBER(J564)),ROUND(Z564*J564/I564,2),"")</f>
        <v>39</v>
      </c>
      <c r="AB564" t="s">
        <v>42</v>
      </c>
      <c r="AC564" t="s">
        <v>867</v>
      </c>
      <c r="AD564" t="s">
        <v>48</v>
      </c>
      <c r="AE564" t="s">
        <v>45</v>
      </c>
    </row>
    <row r="565">
      <c r="A565">
        <v>1143177</v>
      </c>
      <c r="B565">
        <v>1143177</v>
      </c>
      <c r="C565" t="s">
        <v>940</v>
      </c>
      <c r="D565" t="s">
        <v>866</v>
      </c>
      <c r="E565" t="s">
        <v>941</v>
      </c>
      <c r="F565" s="1">
        <v>4.5</v>
      </c>
      <c r="G565" s="2">
        <v>0.4</v>
      </c>
      <c r="I565" s="1">
        <v>6.3</v>
      </c>
      <c r="J565" s="1" t="s">
        <f>IF(AND(ISNUMBER(F565),ISNUMBER(H565)),ROUND(F565*(1+H565),2),"")</f>
        <v>39</v>
      </c>
      <c r="K565" s="2" t="s">
        <f>IF(AND(ISNUMBER(I565),I565&gt;0,ISNUMBER(J565)),J565/I565-1,"")</f>
        <v>39</v>
      </c>
      <c r="L565" t="s">
        <v>38</v>
      </c>
      <c r="M565" s="1">
        <v>4.2</v>
      </c>
      <c r="N565" s="1" t="s">
        <f>IF(AND(ISNUMBER(U565),U565&gt;0,ISNUMBER(J565)),ROUND(J565/U565,2),"")</f>
        <v>39</v>
      </c>
      <c r="Q565" t="s">
        <v>166</v>
      </c>
      <c r="R565" t="s">
        <v>39</v>
      </c>
      <c r="S565">
        <v>982383</v>
      </c>
      <c r="T565">
        <v>982383</v>
      </c>
      <c r="U565" s="3">
        <v>1.5</v>
      </c>
      <c r="X565" t="s">
        <v>41</v>
      </c>
      <c r="Z565" s="1">
        <v>6.3</v>
      </c>
      <c r="AA565" s="1" t="s">
        <f>IF(AND(ISNUMBER(Z565),ISNUMBER(I565),I565&gt;0,ISNUMBER(J565)),ROUND(Z565*J565/I565,2),"")</f>
        <v>39</v>
      </c>
      <c r="AB565" t="s">
        <v>42</v>
      </c>
      <c r="AC565" t="s">
        <v>867</v>
      </c>
      <c r="AD565" t="s">
        <v>44</v>
      </c>
      <c r="AE565" t="s">
        <v>45</v>
      </c>
    </row>
    <row r="566">
      <c r="A566">
        <v>1163512</v>
      </c>
      <c r="B566">
        <v>1163512</v>
      </c>
      <c r="C566" t="s">
        <v>942</v>
      </c>
      <c r="D566" t="s">
        <v>866</v>
      </c>
      <c r="E566" t="s">
        <v>943</v>
      </c>
      <c r="F566" s="1">
        <v>5</v>
      </c>
      <c r="G566" s="2">
        <v>0.4</v>
      </c>
      <c r="I566" s="1">
        <v>7</v>
      </c>
      <c r="J566" s="1" t="s">
        <f>IF(AND(ISNUMBER(F566),ISNUMBER(H566)),ROUND(F566*(1+H566),2),"")</f>
        <v>39</v>
      </c>
      <c r="K566" s="2" t="s">
        <f>IF(AND(ISNUMBER(I566),I566&gt;0,ISNUMBER(J566)),J566/I566-1,"")</f>
        <v>39</v>
      </c>
      <c r="L566" t="s">
        <v>38</v>
      </c>
      <c r="N566" s="1" t="s">
        <f>IF(AND(ISNUMBER(U566),U566&gt;0,ISNUMBER(J566)),ROUND(J566/U566,2),"")</f>
        <v>39</v>
      </c>
      <c r="Q566" t="s">
        <v>166</v>
      </c>
      <c r="R566" t="s">
        <v>39</v>
      </c>
      <c r="S566">
        <v>1011063</v>
      </c>
      <c r="T566">
        <v>1011063</v>
      </c>
      <c r="X566" t="s">
        <v>41</v>
      </c>
      <c r="Z566" s="1">
        <v>7</v>
      </c>
      <c r="AA566" s="1" t="s">
        <f>IF(AND(ISNUMBER(Z566),ISNUMBER(I566),I566&gt;0,ISNUMBER(J566)),ROUND(Z566*J566/I566,2),"")</f>
        <v>39</v>
      </c>
      <c r="AB566" t="s">
        <v>42</v>
      </c>
      <c r="AC566" t="s">
        <v>867</v>
      </c>
      <c r="AD566" t="s">
        <v>44</v>
      </c>
      <c r="AE566" t="s">
        <v>45</v>
      </c>
    </row>
    <row r="567">
      <c r="A567">
        <v>805952</v>
      </c>
      <c r="B567">
        <v>805952</v>
      </c>
      <c r="C567" t="s">
        <v>944</v>
      </c>
      <c r="D567" t="s">
        <v>866</v>
      </c>
      <c r="E567" t="s">
        <v>133</v>
      </c>
      <c r="J567" s="1" t="s">
        <f>IF(AND(ISNUMBER(F567),ISNUMBER(H567)),ROUND(F567*(1+H567),2),"")</f>
        <v>39</v>
      </c>
      <c r="K567" s="2" t="s">
        <f>IF(AND(ISNUMBER(I567),I567&gt;0,ISNUMBER(J567)),J567/I567-1,"")</f>
        <v>39</v>
      </c>
      <c r="L567" t="s">
        <v>38</v>
      </c>
      <c r="N567" s="1" t="s">
        <f>IF(AND(ISNUMBER(U567),U567&gt;0,ISNUMBER(J567)),ROUND(J567/U567,2),"")</f>
        <v>39</v>
      </c>
      <c r="Q567" t="s">
        <v>166</v>
      </c>
      <c r="R567" t="s">
        <v>39</v>
      </c>
      <c r="S567">
        <v>527012</v>
      </c>
      <c r="T567">
        <v>527012</v>
      </c>
      <c r="X567" t="s">
        <v>41</v>
      </c>
      <c r="AA567" s="1" t="s">
        <f>IF(AND(ISNUMBER(Z567),ISNUMBER(I567),I567&gt;0,ISNUMBER(J567)),ROUND(Z567*J567/I567,2),"")</f>
        <v>39</v>
      </c>
      <c r="AB567" t="s">
        <v>167</v>
      </c>
      <c r="AC567" t="s">
        <v>924</v>
      </c>
      <c r="AD567" t="s">
        <v>48</v>
      </c>
      <c r="AE567" t="s">
        <v>45</v>
      </c>
    </row>
    <row r="568">
      <c r="A568">
        <v>1151478</v>
      </c>
      <c r="B568">
        <v>1151478</v>
      </c>
      <c r="C568" t="s">
        <v>945</v>
      </c>
      <c r="D568" t="s">
        <v>866</v>
      </c>
      <c r="E568" t="s">
        <v>946</v>
      </c>
      <c r="F568" s="1">
        <v>25</v>
      </c>
      <c r="G568" s="2">
        <v>0.6</v>
      </c>
      <c r="I568" s="1">
        <v>40</v>
      </c>
      <c r="J568" s="1" t="s">
        <f>IF(AND(ISNUMBER(F568),ISNUMBER(H568)),ROUND(F568*(1+H568),2),"")</f>
        <v>39</v>
      </c>
      <c r="K568" s="2" t="s">
        <f>IF(AND(ISNUMBER(I568),I568&gt;0,ISNUMBER(J568)),J568/I568-1,"")</f>
        <v>39</v>
      </c>
      <c r="L568" t="s">
        <v>38</v>
      </c>
      <c r="N568" s="1" t="s">
        <f>IF(AND(ISNUMBER(U568),U568&gt;0,ISNUMBER(J568)),ROUND(J568/U568,2),"")</f>
        <v>39</v>
      </c>
      <c r="Q568" t="s">
        <v>166</v>
      </c>
      <c r="R568" t="s">
        <v>39</v>
      </c>
      <c r="S568">
        <v>993255</v>
      </c>
      <c r="T568">
        <v>993255</v>
      </c>
      <c r="X568" t="s">
        <v>41</v>
      </c>
      <c r="Z568" s="1">
        <v>40</v>
      </c>
      <c r="AA568" s="1" t="s">
        <f>IF(AND(ISNUMBER(Z568),ISNUMBER(I568),I568&gt;0,ISNUMBER(J568)),ROUND(Z568*J568/I568,2),"")</f>
        <v>39</v>
      </c>
      <c r="AB568" t="s">
        <v>42</v>
      </c>
      <c r="AC568" t="s">
        <v>919</v>
      </c>
      <c r="AD568" t="s">
        <v>44</v>
      </c>
      <c r="AE568" t="s">
        <v>45</v>
      </c>
    </row>
    <row r="569">
      <c r="A569">
        <v>1151475</v>
      </c>
      <c r="B569">
        <v>1151475</v>
      </c>
      <c r="C569" t="s">
        <v>947</v>
      </c>
      <c r="D569" t="s">
        <v>866</v>
      </c>
      <c r="E569" t="s">
        <v>946</v>
      </c>
      <c r="F569" s="1">
        <v>25</v>
      </c>
      <c r="G569" s="2">
        <v>0.6</v>
      </c>
      <c r="I569" s="1">
        <v>40</v>
      </c>
      <c r="J569" s="1" t="s">
        <f>IF(AND(ISNUMBER(F569),ISNUMBER(H569)),ROUND(F569*(1+H569),2),"")</f>
        <v>39</v>
      </c>
      <c r="K569" s="2" t="s">
        <f>IF(AND(ISNUMBER(I569),I569&gt;0,ISNUMBER(J569)),J569/I569-1,"")</f>
        <v>39</v>
      </c>
      <c r="L569" t="s">
        <v>38</v>
      </c>
      <c r="N569" s="1" t="s">
        <f>IF(AND(ISNUMBER(U569),U569&gt;0,ISNUMBER(J569)),ROUND(J569/U569,2),"")</f>
        <v>39</v>
      </c>
      <c r="Q569" t="s">
        <v>166</v>
      </c>
      <c r="R569" t="s">
        <v>39</v>
      </c>
      <c r="S569">
        <v>993252</v>
      </c>
      <c r="T569">
        <v>993252</v>
      </c>
      <c r="X569" t="s">
        <v>41</v>
      </c>
      <c r="Z569" s="1">
        <v>40</v>
      </c>
      <c r="AA569" s="1" t="s">
        <f>IF(AND(ISNUMBER(Z569),ISNUMBER(I569),I569&gt;0,ISNUMBER(J569)),ROUND(Z569*J569/I569,2),"")</f>
        <v>39</v>
      </c>
      <c r="AB569" t="s">
        <v>42</v>
      </c>
      <c r="AC569" t="s">
        <v>919</v>
      </c>
      <c r="AD569" t="s">
        <v>44</v>
      </c>
      <c r="AE569" t="s">
        <v>45</v>
      </c>
    </row>
    <row r="570">
      <c r="A570">
        <v>1151473</v>
      </c>
      <c r="B570">
        <v>1151473</v>
      </c>
      <c r="C570" t="s">
        <v>948</v>
      </c>
      <c r="D570" t="s">
        <v>866</v>
      </c>
      <c r="E570" t="s">
        <v>946</v>
      </c>
      <c r="F570" s="1">
        <v>25</v>
      </c>
      <c r="G570" s="2">
        <v>0.6</v>
      </c>
      <c r="I570" s="1">
        <v>40</v>
      </c>
      <c r="J570" s="1" t="s">
        <f>IF(AND(ISNUMBER(F570),ISNUMBER(H570)),ROUND(F570*(1+H570),2),"")</f>
        <v>39</v>
      </c>
      <c r="K570" s="2" t="s">
        <f>IF(AND(ISNUMBER(I570),I570&gt;0,ISNUMBER(J570)),J570/I570-1,"")</f>
        <v>39</v>
      </c>
      <c r="L570" t="s">
        <v>38</v>
      </c>
      <c r="N570" s="1" t="s">
        <f>IF(AND(ISNUMBER(U570),U570&gt;0,ISNUMBER(J570)),ROUND(J570/U570,2),"")</f>
        <v>39</v>
      </c>
      <c r="Q570" t="s">
        <v>166</v>
      </c>
      <c r="R570" t="s">
        <v>39</v>
      </c>
      <c r="S570">
        <v>993250</v>
      </c>
      <c r="T570">
        <v>993250</v>
      </c>
      <c r="X570" t="s">
        <v>41</v>
      </c>
      <c r="Z570" s="1">
        <v>40</v>
      </c>
      <c r="AA570" s="1" t="s">
        <f>IF(AND(ISNUMBER(Z570),ISNUMBER(I570),I570&gt;0,ISNUMBER(J570)),ROUND(Z570*J570/I570,2),"")</f>
        <v>39</v>
      </c>
      <c r="AB570" t="s">
        <v>42</v>
      </c>
      <c r="AC570" t="s">
        <v>919</v>
      </c>
      <c r="AD570" t="s">
        <v>44</v>
      </c>
      <c r="AE570" t="s">
        <v>45</v>
      </c>
    </row>
    <row r="571">
      <c r="A571">
        <v>1151477</v>
      </c>
      <c r="B571">
        <v>1151477</v>
      </c>
      <c r="C571" t="s">
        <v>949</v>
      </c>
      <c r="D571" t="s">
        <v>866</v>
      </c>
      <c r="E571" t="s">
        <v>946</v>
      </c>
      <c r="F571" s="1">
        <v>25</v>
      </c>
      <c r="G571" s="2">
        <v>0.6</v>
      </c>
      <c r="I571" s="1">
        <v>40</v>
      </c>
      <c r="J571" s="1" t="s">
        <f>IF(AND(ISNUMBER(F571),ISNUMBER(H571)),ROUND(F571*(1+H571),2),"")</f>
        <v>39</v>
      </c>
      <c r="K571" s="2" t="s">
        <f>IF(AND(ISNUMBER(I571),I571&gt;0,ISNUMBER(J571)),J571/I571-1,"")</f>
        <v>39</v>
      </c>
      <c r="L571" t="s">
        <v>38</v>
      </c>
      <c r="N571" s="1" t="s">
        <f>IF(AND(ISNUMBER(U571),U571&gt;0,ISNUMBER(J571)),ROUND(J571/U571,2),"")</f>
        <v>39</v>
      </c>
      <c r="Q571" t="s">
        <v>166</v>
      </c>
      <c r="R571" t="s">
        <v>39</v>
      </c>
      <c r="S571">
        <v>993254</v>
      </c>
      <c r="T571">
        <v>993254</v>
      </c>
      <c r="X571" t="s">
        <v>41</v>
      </c>
      <c r="Z571" s="1">
        <v>40</v>
      </c>
      <c r="AA571" s="1" t="s">
        <f>IF(AND(ISNUMBER(Z571),ISNUMBER(I571),I571&gt;0,ISNUMBER(J571)),ROUND(Z571*J571/I571,2),"")</f>
        <v>39</v>
      </c>
      <c r="AB571" t="s">
        <v>42</v>
      </c>
      <c r="AC571" t="s">
        <v>919</v>
      </c>
      <c r="AD571" t="s">
        <v>44</v>
      </c>
      <c r="AE571" t="s">
        <v>45</v>
      </c>
    </row>
    <row r="572">
      <c r="A572">
        <v>1139026</v>
      </c>
      <c r="B572">
        <v>1139026</v>
      </c>
      <c r="C572" t="s">
        <v>950</v>
      </c>
      <c r="D572" t="s">
        <v>866</v>
      </c>
      <c r="E572" t="s">
        <v>943</v>
      </c>
      <c r="F572" s="1">
        <v>3.4</v>
      </c>
      <c r="G572" s="2">
        <v>0.4</v>
      </c>
      <c r="I572" s="1">
        <v>4.76</v>
      </c>
      <c r="J572" s="1" t="s">
        <f>IF(AND(ISNUMBER(F572),ISNUMBER(H572)),ROUND(F572*(1+H572),2),"")</f>
        <v>39</v>
      </c>
      <c r="K572" s="2" t="s">
        <f>IF(AND(ISNUMBER(I572),I572&gt;0,ISNUMBER(J572)),J572/I572-1,"")</f>
        <v>39</v>
      </c>
      <c r="L572" t="s">
        <v>38</v>
      </c>
      <c r="N572" s="1" t="s">
        <f>IF(AND(ISNUMBER(U572),U572&gt;0,ISNUMBER(J572)),ROUND(J572/U572,2),"")</f>
        <v>39</v>
      </c>
      <c r="Q572" t="s">
        <v>166</v>
      </c>
      <c r="R572" t="s">
        <v>39</v>
      </c>
      <c r="S572">
        <v>976775</v>
      </c>
      <c r="T572">
        <v>976775</v>
      </c>
      <c r="X572" t="s">
        <v>41</v>
      </c>
      <c r="Z572" s="1">
        <v>4.76</v>
      </c>
      <c r="AA572" s="1" t="s">
        <f>IF(AND(ISNUMBER(Z572),ISNUMBER(I572),I572&gt;0,ISNUMBER(J572)),ROUND(Z572*J572/I572,2),"")</f>
        <v>39</v>
      </c>
      <c r="AB572" t="s">
        <v>42</v>
      </c>
      <c r="AC572" t="s">
        <v>867</v>
      </c>
      <c r="AD572" t="s">
        <v>48</v>
      </c>
      <c r="AE572" t="s">
        <v>45</v>
      </c>
    </row>
    <row r="573">
      <c r="A573">
        <v>825305</v>
      </c>
      <c r="B573">
        <v>825305</v>
      </c>
      <c r="C573" t="s">
        <v>951</v>
      </c>
      <c r="D573" t="s">
        <v>866</v>
      </c>
      <c r="E573" t="s">
        <v>153</v>
      </c>
      <c r="F573" s="1">
        <v>11.25</v>
      </c>
      <c r="G573" s="2">
        <v>0.33</v>
      </c>
      <c r="I573" s="1">
        <v>14.96</v>
      </c>
      <c r="J573" s="1" t="s">
        <f>IF(AND(ISNUMBER(F573),ISNUMBER(H573)),ROUND(F573*(1+H573),2),"")</f>
        <v>39</v>
      </c>
      <c r="K573" s="2" t="s">
        <f>IF(AND(ISNUMBER(I573),I573&gt;0,ISNUMBER(J573)),J573/I573-1,"")</f>
        <v>39</v>
      </c>
      <c r="L573" t="s">
        <v>38</v>
      </c>
      <c r="M573" s="1">
        <v>29.92</v>
      </c>
      <c r="N573" s="1" t="s">
        <f>IF(AND(ISNUMBER(U573),U573&gt;0,ISNUMBER(J573)),ROUND(J573/U573,2),"")</f>
        <v>39</v>
      </c>
      <c r="Q573" t="s">
        <v>166</v>
      </c>
      <c r="R573" t="s">
        <v>39</v>
      </c>
      <c r="S573">
        <v>549219</v>
      </c>
      <c r="T573">
        <v>549219</v>
      </c>
      <c r="U573" s="3">
        <v>0.5</v>
      </c>
      <c r="X573" t="s">
        <v>41</v>
      </c>
      <c r="Z573" s="1">
        <v>14.96</v>
      </c>
      <c r="AA573" s="1" t="s">
        <f>IF(AND(ISNUMBER(Z573),ISNUMBER(I573),I573&gt;0,ISNUMBER(J573)),ROUND(Z573*J573/I573,2),"")</f>
        <v>39</v>
      </c>
      <c r="AB573" t="s">
        <v>42</v>
      </c>
      <c r="AC573" t="s">
        <v>952</v>
      </c>
      <c r="AD573" t="s">
        <v>48</v>
      </c>
      <c r="AE573" t="s">
        <v>45</v>
      </c>
    </row>
    <row r="574">
      <c r="A574">
        <v>1141557</v>
      </c>
      <c r="B574">
        <v>1141557</v>
      </c>
      <c r="C574" t="s">
        <v>953</v>
      </c>
      <c r="D574" t="s">
        <v>866</v>
      </c>
      <c r="E574" t="s">
        <v>63</v>
      </c>
      <c r="F574" s="1">
        <v>12</v>
      </c>
      <c r="G574" s="2">
        <v>0.4</v>
      </c>
      <c r="I574" s="1">
        <v>16.8</v>
      </c>
      <c r="J574" s="1" t="s">
        <f>IF(AND(ISNUMBER(F574),ISNUMBER(H574)),ROUND(F574*(1+H574),2),"")</f>
        <v>39</v>
      </c>
      <c r="K574" s="2" t="s">
        <f>IF(AND(ISNUMBER(I574),I574&gt;0,ISNUMBER(J574)),J574/I574-1,"")</f>
        <v>39</v>
      </c>
      <c r="L574" t="s">
        <v>38</v>
      </c>
      <c r="N574" s="1" t="s">
        <f>IF(AND(ISNUMBER(U574),U574&gt;0,ISNUMBER(J574)),ROUND(J574/U574,2),"")</f>
        <v>39</v>
      </c>
      <c r="Q574" t="s">
        <v>166</v>
      </c>
      <c r="R574" t="s">
        <v>39</v>
      </c>
      <c r="S574">
        <v>980230</v>
      </c>
      <c r="T574">
        <v>980230</v>
      </c>
      <c r="X574" t="s">
        <v>41</v>
      </c>
      <c r="Z574" s="1">
        <v>16.8</v>
      </c>
      <c r="AA574" s="1" t="s">
        <f>IF(AND(ISNUMBER(Z574),ISNUMBER(I574),I574&gt;0,ISNUMBER(J574)),ROUND(Z574*J574/I574,2),"")</f>
        <v>39</v>
      </c>
      <c r="AB574" t="s">
        <v>42</v>
      </c>
      <c r="AC574" t="s">
        <v>867</v>
      </c>
      <c r="AD574" t="s">
        <v>48</v>
      </c>
      <c r="AE574" t="s">
        <v>45</v>
      </c>
    </row>
    <row r="575">
      <c r="A575">
        <v>1163513</v>
      </c>
      <c r="B575">
        <v>1163513</v>
      </c>
      <c r="C575" t="s">
        <v>954</v>
      </c>
      <c r="D575" t="s">
        <v>866</v>
      </c>
      <c r="E575" t="s">
        <v>63</v>
      </c>
      <c r="F575" s="1">
        <v>1</v>
      </c>
      <c r="G575" s="2">
        <v>0.4</v>
      </c>
      <c r="I575" s="1">
        <v>1.4</v>
      </c>
      <c r="J575" s="1" t="s">
        <f>IF(AND(ISNUMBER(F575),ISNUMBER(H575)),ROUND(F575*(1+H575),2),"")</f>
        <v>39</v>
      </c>
      <c r="K575" s="2" t="s">
        <f>IF(AND(ISNUMBER(I575),I575&gt;0,ISNUMBER(J575)),J575/I575-1,"")</f>
        <v>39</v>
      </c>
      <c r="L575" t="s">
        <v>38</v>
      </c>
      <c r="N575" s="1" t="s">
        <f>IF(AND(ISNUMBER(U575),U575&gt;0,ISNUMBER(J575)),ROUND(J575/U575,2),"")</f>
        <v>39</v>
      </c>
      <c r="Q575" t="s">
        <v>166</v>
      </c>
      <c r="R575" t="s">
        <v>39</v>
      </c>
      <c r="S575">
        <v>1011064</v>
      </c>
      <c r="T575">
        <v>1011064</v>
      </c>
      <c r="X575" t="s">
        <v>41</v>
      </c>
      <c r="Z575" s="1">
        <v>1.4</v>
      </c>
      <c r="AA575" s="1" t="s">
        <f>IF(AND(ISNUMBER(Z575),ISNUMBER(I575),I575&gt;0,ISNUMBER(J575)),ROUND(Z575*J575/I575,2),"")</f>
        <v>39</v>
      </c>
      <c r="AB575" t="s">
        <v>42</v>
      </c>
      <c r="AC575" t="s">
        <v>867</v>
      </c>
      <c r="AD575" t="s">
        <v>44</v>
      </c>
      <c r="AE575" t="s">
        <v>45</v>
      </c>
    </row>
    <row r="576">
      <c r="A576">
        <v>1153445</v>
      </c>
      <c r="B576">
        <v>1153445</v>
      </c>
      <c r="C576" t="s">
        <v>955</v>
      </c>
      <c r="D576" t="s">
        <v>866</v>
      </c>
      <c r="E576" t="s">
        <v>92</v>
      </c>
      <c r="F576" s="1">
        <v>4</v>
      </c>
      <c r="G576" s="2">
        <v>0.4</v>
      </c>
      <c r="I576" s="1">
        <v>5.6</v>
      </c>
      <c r="J576" s="1" t="s">
        <f>IF(AND(ISNUMBER(F576),ISNUMBER(H576)),ROUND(F576*(1+H576),2),"")</f>
        <v>39</v>
      </c>
      <c r="K576" s="2" t="s">
        <f>IF(AND(ISNUMBER(I576),I576&gt;0,ISNUMBER(J576)),J576/I576-1,"")</f>
        <v>39</v>
      </c>
      <c r="L576" t="s">
        <v>38</v>
      </c>
      <c r="N576" s="1" t="s">
        <f>IF(AND(ISNUMBER(U576),U576&gt;0,ISNUMBER(J576)),ROUND(J576/U576,2),"")</f>
        <v>39</v>
      </c>
      <c r="Q576" t="s">
        <v>166</v>
      </c>
      <c r="R576" t="s">
        <v>39</v>
      </c>
      <c r="S576">
        <v>996042</v>
      </c>
      <c r="T576">
        <v>996042</v>
      </c>
      <c r="X576" t="s">
        <v>41</v>
      </c>
      <c r="Z576" s="1">
        <v>5.6</v>
      </c>
      <c r="AA576" s="1" t="s">
        <f>IF(AND(ISNUMBER(Z576),ISNUMBER(I576),I576&gt;0,ISNUMBER(J576)),ROUND(Z576*J576/I576,2),"")</f>
        <v>39</v>
      </c>
      <c r="AB576" t="s">
        <v>42</v>
      </c>
      <c r="AC576" t="s">
        <v>867</v>
      </c>
      <c r="AD576" t="s">
        <v>48</v>
      </c>
      <c r="AE576" t="s">
        <v>45</v>
      </c>
    </row>
    <row r="577">
      <c r="A577">
        <v>1149432</v>
      </c>
      <c r="B577">
        <v>1149432</v>
      </c>
      <c r="C577" t="s">
        <v>956</v>
      </c>
      <c r="D577" t="s">
        <v>866</v>
      </c>
      <c r="E577" t="s">
        <v>153</v>
      </c>
      <c r="F577" s="1">
        <v>4</v>
      </c>
      <c r="G577" s="2">
        <v>0.4</v>
      </c>
      <c r="I577" s="1">
        <v>5.6</v>
      </c>
      <c r="J577" s="1" t="s">
        <f>IF(AND(ISNUMBER(F577),ISNUMBER(H577)),ROUND(F577*(1+H577),2),"")</f>
        <v>39</v>
      </c>
      <c r="K577" s="2" t="s">
        <f>IF(AND(ISNUMBER(I577),I577&gt;0,ISNUMBER(J577)),J577/I577-1,"")</f>
        <v>39</v>
      </c>
      <c r="L577" t="s">
        <v>38</v>
      </c>
      <c r="M577" s="1">
        <v>11.2</v>
      </c>
      <c r="N577" s="1" t="s">
        <f>IF(AND(ISNUMBER(U577),U577&gt;0,ISNUMBER(J577)),ROUND(J577/U577,2),"")</f>
        <v>39</v>
      </c>
      <c r="Q577" t="s">
        <v>166</v>
      </c>
      <c r="R577" t="s">
        <v>39</v>
      </c>
      <c r="S577">
        <v>990479</v>
      </c>
      <c r="T577">
        <v>990479</v>
      </c>
      <c r="U577" s="3">
        <v>0.5</v>
      </c>
      <c r="X577" t="s">
        <v>41</v>
      </c>
      <c r="Z577" s="1">
        <v>5.6</v>
      </c>
      <c r="AA577" s="1" t="s">
        <f>IF(AND(ISNUMBER(Z577),ISNUMBER(I577),I577&gt;0,ISNUMBER(J577)),ROUND(Z577*J577/I577,2),"")</f>
        <v>39</v>
      </c>
      <c r="AB577" t="s">
        <v>42</v>
      </c>
      <c r="AC577" t="s">
        <v>867</v>
      </c>
      <c r="AD577" t="s">
        <v>44</v>
      </c>
      <c r="AE577" t="s">
        <v>45</v>
      </c>
    </row>
    <row r="578">
      <c r="A578">
        <v>1161243</v>
      </c>
      <c r="B578">
        <v>1161243</v>
      </c>
      <c r="C578" t="s">
        <v>957</v>
      </c>
      <c r="D578" t="s">
        <v>866</v>
      </c>
      <c r="E578" t="s">
        <v>958</v>
      </c>
      <c r="F578" s="1">
        <v>6</v>
      </c>
      <c r="G578" s="2">
        <v>0.4</v>
      </c>
      <c r="I578" s="1">
        <v>8.4</v>
      </c>
      <c r="J578" s="1" t="s">
        <f>IF(AND(ISNUMBER(F578),ISNUMBER(H578)),ROUND(F578*(1+H578),2),"")</f>
        <v>39</v>
      </c>
      <c r="K578" s="2" t="s">
        <f>IF(AND(ISNUMBER(I578),I578&gt;0,ISNUMBER(J578)),J578/I578-1,"")</f>
        <v>39</v>
      </c>
      <c r="L578" t="s">
        <v>38</v>
      </c>
      <c r="N578" s="1" t="s">
        <f>IF(AND(ISNUMBER(U578),U578&gt;0,ISNUMBER(J578)),ROUND(J578/U578,2),"")</f>
        <v>39</v>
      </c>
      <c r="Q578" t="s">
        <v>166</v>
      </c>
      <c r="R578" t="s">
        <v>39</v>
      </c>
      <c r="S578">
        <v>1006816</v>
      </c>
      <c r="T578">
        <v>1006816</v>
      </c>
      <c r="X578" t="s">
        <v>41</v>
      </c>
      <c r="Z578" s="1">
        <v>8.4</v>
      </c>
      <c r="AA578" s="1" t="s">
        <f>IF(AND(ISNUMBER(Z578),ISNUMBER(I578),I578&gt;0,ISNUMBER(J578)),ROUND(Z578*J578/I578,2),"")</f>
        <v>39</v>
      </c>
      <c r="AB578" t="s">
        <v>42</v>
      </c>
      <c r="AC578" t="s">
        <v>867</v>
      </c>
      <c r="AD578" t="s">
        <v>44</v>
      </c>
      <c r="AE578" t="s">
        <v>45</v>
      </c>
    </row>
    <row r="579">
      <c r="A579">
        <v>1162016</v>
      </c>
      <c r="B579">
        <v>1162016</v>
      </c>
      <c r="C579" t="s">
        <v>85</v>
      </c>
      <c r="D579" t="s">
        <v>866</v>
      </c>
      <c r="E579" t="s">
        <v>959</v>
      </c>
      <c r="F579" s="1">
        <v>12</v>
      </c>
      <c r="G579" s="2">
        <v>0.4</v>
      </c>
      <c r="I579" s="1">
        <v>16.8</v>
      </c>
      <c r="J579" s="1" t="s">
        <f>IF(AND(ISNUMBER(F579),ISNUMBER(H579)),ROUND(F579*(1+H579),2),"")</f>
        <v>39</v>
      </c>
      <c r="K579" s="2" t="s">
        <f>IF(AND(ISNUMBER(I579),I579&gt;0,ISNUMBER(J579)),J579/I579-1,"")</f>
        <v>39</v>
      </c>
      <c r="L579" t="s">
        <v>38</v>
      </c>
      <c r="M579" s="1">
        <v>4.2</v>
      </c>
      <c r="N579" s="1" t="s">
        <f>IF(AND(ISNUMBER(U579),U579&gt;0,ISNUMBER(J579)),ROUND(J579/U579,2),"")</f>
        <v>39</v>
      </c>
      <c r="Q579" t="s">
        <v>166</v>
      </c>
      <c r="R579" t="s">
        <v>39</v>
      </c>
      <c r="S579">
        <v>1008808</v>
      </c>
      <c r="T579">
        <v>1008808</v>
      </c>
      <c r="U579" s="3">
        <v>4</v>
      </c>
      <c r="X579" t="s">
        <v>41</v>
      </c>
      <c r="Z579" s="1">
        <v>16.8</v>
      </c>
      <c r="AA579" s="1" t="s">
        <f>IF(AND(ISNUMBER(Z579),ISNUMBER(I579),I579&gt;0,ISNUMBER(J579)),ROUND(Z579*J579/I579,2),"")</f>
        <v>39</v>
      </c>
      <c r="AB579" t="s">
        <v>42</v>
      </c>
      <c r="AC579" t="s">
        <v>867</v>
      </c>
      <c r="AD579" t="s">
        <v>44</v>
      </c>
      <c r="AE579" t="s">
        <v>45</v>
      </c>
    </row>
    <row r="580">
      <c r="A580">
        <v>870774</v>
      </c>
      <c r="B580">
        <v>870774</v>
      </c>
      <c r="C580" t="s">
        <v>820</v>
      </c>
      <c r="D580" t="s">
        <v>866</v>
      </c>
      <c r="E580" t="s">
        <v>960</v>
      </c>
      <c r="F580" s="1">
        <v>5</v>
      </c>
      <c r="G580" s="2">
        <v>0.35</v>
      </c>
      <c r="I580" s="1">
        <v>6.75</v>
      </c>
      <c r="J580" s="1" t="s">
        <f>IF(AND(ISNUMBER(F580),ISNUMBER(H580)),ROUND(F580*(1+H580),2),"")</f>
        <v>39</v>
      </c>
      <c r="K580" s="2" t="s">
        <f>IF(AND(ISNUMBER(I580),I580&gt;0,ISNUMBER(J580)),J580/I580-1,"")</f>
        <v>39</v>
      </c>
      <c r="L580" t="s">
        <v>38</v>
      </c>
      <c r="M580" s="1">
        <v>13.5</v>
      </c>
      <c r="N580" s="1" t="s">
        <f>IF(AND(ISNUMBER(U580),U580&gt;0,ISNUMBER(J580)),ROUND(J580/U580,2),"")</f>
        <v>39</v>
      </c>
      <c r="Q580" t="s">
        <v>166</v>
      </c>
      <c r="R580" t="s">
        <v>39</v>
      </c>
      <c r="S580">
        <v>603300</v>
      </c>
      <c r="T580">
        <v>603300</v>
      </c>
      <c r="U580" s="3">
        <v>0.5</v>
      </c>
      <c r="X580" t="s">
        <v>41</v>
      </c>
      <c r="Z580" s="1">
        <v>6.75</v>
      </c>
      <c r="AA580" s="1" t="s">
        <f>IF(AND(ISNUMBER(Z580),ISNUMBER(I580),I580&gt;0,ISNUMBER(J580)),ROUND(Z580*J580/I580,2),"")</f>
        <v>39</v>
      </c>
      <c r="AB580" t="s">
        <v>42</v>
      </c>
      <c r="AC580" t="s">
        <v>961</v>
      </c>
      <c r="AD580" t="s">
        <v>48</v>
      </c>
      <c r="AE580" t="s">
        <v>45</v>
      </c>
    </row>
    <row r="581">
      <c r="A581">
        <v>805982</v>
      </c>
      <c r="B581">
        <v>805982</v>
      </c>
      <c r="C581" t="s">
        <v>962</v>
      </c>
      <c r="D581" t="s">
        <v>866</v>
      </c>
      <c r="E581" t="s">
        <v>96</v>
      </c>
      <c r="F581" s="1">
        <v>3.5</v>
      </c>
      <c r="G581" s="2">
        <v>-0.1428571428571429</v>
      </c>
      <c r="I581" s="1">
        <v>3</v>
      </c>
      <c r="J581" s="1" t="s">
        <f>IF(AND(ISNUMBER(F581),ISNUMBER(H581)),ROUND(F581*(1+H581),2),"")</f>
        <v>39</v>
      </c>
      <c r="K581" s="2" t="s">
        <f>IF(AND(ISNUMBER(I581),I581&gt;0,ISNUMBER(J581)),J581/I581-1,"")</f>
        <v>39</v>
      </c>
      <c r="L581" t="s">
        <v>751</v>
      </c>
      <c r="N581" s="1" t="s">
        <f>IF(AND(ISNUMBER(U581),U581&gt;0,ISNUMBER(J581)),ROUND(J581/U581,2),"")</f>
        <v>39</v>
      </c>
      <c r="Q581" t="s">
        <v>166</v>
      </c>
      <c r="R581" t="s">
        <v>39</v>
      </c>
      <c r="S581">
        <v>527042</v>
      </c>
      <c r="T581">
        <v>527042</v>
      </c>
      <c r="X581" t="s">
        <v>41</v>
      </c>
      <c r="AA581" s="1" t="s">
        <f>IF(AND(ISNUMBER(Z581),ISNUMBER(I581),I581&gt;0,ISNUMBER(J581)),ROUND(Z581*J581/I581,2),"")</f>
        <v>39</v>
      </c>
      <c r="AB581" t="s">
        <v>893</v>
      </c>
      <c r="AC581" t="s">
        <v>894</v>
      </c>
      <c r="AD581" t="s">
        <v>48</v>
      </c>
      <c r="AE581" t="s">
        <v>45</v>
      </c>
    </row>
    <row r="582">
      <c r="A582">
        <v>883821</v>
      </c>
      <c r="B582">
        <v>883821</v>
      </c>
      <c r="C582" t="s">
        <v>963</v>
      </c>
      <c r="D582" t="s">
        <v>866</v>
      </c>
      <c r="E582" t="s">
        <v>100</v>
      </c>
      <c r="F582" s="1">
        <v>2.4</v>
      </c>
      <c r="G582" s="2">
        <v>0.34</v>
      </c>
      <c r="I582" s="1">
        <v>3.22</v>
      </c>
      <c r="J582" s="1" t="s">
        <f>IF(AND(ISNUMBER(F582),ISNUMBER(H582)),ROUND(F582*(1+H582),2),"")</f>
        <v>39</v>
      </c>
      <c r="K582" s="2" t="s">
        <f>IF(AND(ISNUMBER(I582),I582&gt;0,ISNUMBER(J582)),J582/I582-1,"")</f>
        <v>39</v>
      </c>
      <c r="L582" t="s">
        <v>38</v>
      </c>
      <c r="M582" s="1">
        <v>3.22</v>
      </c>
      <c r="N582" s="1" t="s">
        <f>IF(AND(ISNUMBER(U582),U582&gt;0,ISNUMBER(J582)),ROUND(J582/U582,2),"")</f>
        <v>39</v>
      </c>
      <c r="Q582" t="s">
        <v>166</v>
      </c>
      <c r="R582" t="s">
        <v>39</v>
      </c>
      <c r="S582">
        <v>621073</v>
      </c>
      <c r="T582">
        <v>621073</v>
      </c>
      <c r="U582" s="3">
        <v>1</v>
      </c>
      <c r="X582" t="s">
        <v>41</v>
      </c>
      <c r="Z582" s="1">
        <v>3.22</v>
      </c>
      <c r="AA582" s="1" t="s">
        <f>IF(AND(ISNUMBER(Z582),ISNUMBER(I582),I582&gt;0,ISNUMBER(J582)),ROUND(Z582*J582/I582,2),"")</f>
        <v>39</v>
      </c>
      <c r="AB582" t="s">
        <v>42</v>
      </c>
      <c r="AC582" t="s">
        <v>964</v>
      </c>
      <c r="AD582" t="s">
        <v>48</v>
      </c>
      <c r="AE582" t="s">
        <v>45</v>
      </c>
    </row>
    <row r="583">
      <c r="A583">
        <v>1149424</v>
      </c>
      <c r="B583">
        <v>1149424</v>
      </c>
      <c r="C583" t="s">
        <v>965</v>
      </c>
      <c r="D583" t="s">
        <v>866</v>
      </c>
      <c r="E583" t="s">
        <v>153</v>
      </c>
      <c r="F583" s="1">
        <v>4</v>
      </c>
      <c r="G583" s="2">
        <v>0.4</v>
      </c>
      <c r="I583" s="1">
        <v>5.6</v>
      </c>
      <c r="J583" s="1" t="s">
        <f>IF(AND(ISNUMBER(F583),ISNUMBER(H583)),ROUND(F583*(1+H583),2),"")</f>
        <v>39</v>
      </c>
      <c r="K583" s="2" t="s">
        <f>IF(AND(ISNUMBER(I583),I583&gt;0,ISNUMBER(J583)),J583/I583-1,"")</f>
        <v>39</v>
      </c>
      <c r="L583" t="s">
        <v>38</v>
      </c>
      <c r="M583" s="1">
        <v>11.2</v>
      </c>
      <c r="N583" s="1" t="s">
        <f>IF(AND(ISNUMBER(U583),U583&gt;0,ISNUMBER(J583)),ROUND(J583/U583,2),"")</f>
        <v>39</v>
      </c>
      <c r="Q583" t="s">
        <v>166</v>
      </c>
      <c r="R583" t="s">
        <v>39</v>
      </c>
      <c r="S583">
        <v>990469</v>
      </c>
      <c r="T583">
        <v>990469</v>
      </c>
      <c r="U583" s="3">
        <v>0.5</v>
      </c>
      <c r="X583" t="s">
        <v>41</v>
      </c>
      <c r="Z583" s="1">
        <v>5.6</v>
      </c>
      <c r="AA583" s="1" t="s">
        <f>IF(AND(ISNUMBER(Z583),ISNUMBER(I583),I583&gt;0,ISNUMBER(J583)),ROUND(Z583*J583/I583,2),"")</f>
        <v>39</v>
      </c>
      <c r="AB583" t="s">
        <v>42</v>
      </c>
      <c r="AC583" t="s">
        <v>867</v>
      </c>
      <c r="AD583" t="s">
        <v>44</v>
      </c>
      <c r="AE583" t="s">
        <v>45</v>
      </c>
    </row>
    <row r="584">
      <c r="A584">
        <v>805962</v>
      </c>
      <c r="B584">
        <v>805962</v>
      </c>
      <c r="C584" t="s">
        <v>966</v>
      </c>
      <c r="D584" t="s">
        <v>866</v>
      </c>
      <c r="E584" t="s">
        <v>96</v>
      </c>
      <c r="F584" s="1">
        <v>1.4</v>
      </c>
      <c r="G584" s="2">
        <v>0.34</v>
      </c>
      <c r="I584" s="1">
        <v>1.88</v>
      </c>
      <c r="J584" s="1" t="s">
        <f>IF(AND(ISNUMBER(F584),ISNUMBER(H584)),ROUND(F584*(1+H584),2),"")</f>
        <v>39</v>
      </c>
      <c r="K584" s="2" t="s">
        <f>IF(AND(ISNUMBER(I584),I584&gt;0,ISNUMBER(J584)),J584/I584-1,"")</f>
        <v>39</v>
      </c>
      <c r="L584" t="s">
        <v>38</v>
      </c>
      <c r="N584" s="1" t="s">
        <f>IF(AND(ISNUMBER(U584),U584&gt;0,ISNUMBER(J584)),ROUND(J584/U584,2),"")</f>
        <v>39</v>
      </c>
      <c r="Q584" t="s">
        <v>166</v>
      </c>
      <c r="R584" t="s">
        <v>39</v>
      </c>
      <c r="S584">
        <v>527022</v>
      </c>
      <c r="T584">
        <v>527022</v>
      </c>
      <c r="X584" t="s">
        <v>41</v>
      </c>
      <c r="Z584" s="1">
        <v>1.88</v>
      </c>
      <c r="AA584" s="1" t="s">
        <f>IF(AND(ISNUMBER(Z584),ISNUMBER(I584),I584&gt;0,ISNUMBER(J584)),ROUND(Z584*J584/I584,2),"")</f>
        <v>39</v>
      </c>
      <c r="AB584" t="s">
        <v>42</v>
      </c>
      <c r="AC584" t="s">
        <v>967</v>
      </c>
      <c r="AD584" t="s">
        <v>48</v>
      </c>
      <c r="AE584" t="s">
        <v>45</v>
      </c>
    </row>
    <row r="585">
      <c r="A585">
        <v>1144340</v>
      </c>
      <c r="B585">
        <v>1144340</v>
      </c>
      <c r="C585" t="s">
        <v>826</v>
      </c>
      <c r="D585" t="s">
        <v>866</v>
      </c>
      <c r="E585" t="s">
        <v>96</v>
      </c>
      <c r="F585" s="1">
        <v>2.25</v>
      </c>
      <c r="G585" s="2">
        <v>0.4</v>
      </c>
      <c r="I585" s="1">
        <v>3.15</v>
      </c>
      <c r="J585" s="1" t="s">
        <f>IF(AND(ISNUMBER(F585),ISNUMBER(H585)),ROUND(F585*(1+H585),2),"")</f>
        <v>39</v>
      </c>
      <c r="K585" s="2" t="s">
        <f>IF(AND(ISNUMBER(I585),I585&gt;0,ISNUMBER(J585)),J585/I585-1,"")</f>
        <v>39</v>
      </c>
      <c r="L585" t="s">
        <v>38</v>
      </c>
      <c r="N585" s="1" t="s">
        <f>IF(AND(ISNUMBER(U585),U585&gt;0,ISNUMBER(J585)),ROUND(J585/U585,2),"")</f>
        <v>39</v>
      </c>
      <c r="Q585" t="s">
        <v>166</v>
      </c>
      <c r="R585" t="s">
        <v>39</v>
      </c>
      <c r="S585">
        <v>983565</v>
      </c>
      <c r="T585">
        <v>983565</v>
      </c>
      <c r="X585" t="s">
        <v>41</v>
      </c>
      <c r="Z585" s="1">
        <v>3.15</v>
      </c>
      <c r="AA585" s="1" t="s">
        <f>IF(AND(ISNUMBER(Z585),ISNUMBER(I585),I585&gt;0,ISNUMBER(J585)),ROUND(Z585*J585/I585,2),"")</f>
        <v>39</v>
      </c>
      <c r="AB585" t="s">
        <v>42</v>
      </c>
      <c r="AC585" t="s">
        <v>867</v>
      </c>
      <c r="AD585" t="s">
        <v>48</v>
      </c>
      <c r="AE585" t="s">
        <v>45</v>
      </c>
    </row>
    <row r="586">
      <c r="A586">
        <v>1161247</v>
      </c>
      <c r="B586">
        <v>1161247</v>
      </c>
      <c r="C586" t="s">
        <v>968</v>
      </c>
      <c r="D586" t="s">
        <v>866</v>
      </c>
      <c r="E586" t="s">
        <v>92</v>
      </c>
      <c r="F586" s="1">
        <v>2</v>
      </c>
      <c r="G586" s="2">
        <v>0.4</v>
      </c>
      <c r="I586" s="1">
        <v>2.8</v>
      </c>
      <c r="J586" s="1" t="s">
        <f>IF(AND(ISNUMBER(F586),ISNUMBER(H586)),ROUND(F586*(1+H586),2),"")</f>
        <v>39</v>
      </c>
      <c r="K586" s="2" t="s">
        <f>IF(AND(ISNUMBER(I586),I586&gt;0,ISNUMBER(J586)),J586/I586-1,"")</f>
        <v>39</v>
      </c>
      <c r="L586" t="s">
        <v>38</v>
      </c>
      <c r="N586" s="1" t="s">
        <f>IF(AND(ISNUMBER(U586),U586&gt;0,ISNUMBER(J586)),ROUND(J586/U586,2),"")</f>
        <v>39</v>
      </c>
      <c r="Q586" t="s">
        <v>166</v>
      </c>
      <c r="R586" t="s">
        <v>39</v>
      </c>
      <c r="S586">
        <v>1006819</v>
      </c>
      <c r="T586">
        <v>1006819</v>
      </c>
      <c r="X586" t="s">
        <v>41</v>
      </c>
      <c r="Z586" s="1">
        <v>2.8</v>
      </c>
      <c r="AA586" s="1" t="s">
        <f>IF(AND(ISNUMBER(Z586),ISNUMBER(I586),I586&gt;0,ISNUMBER(J586)),ROUND(Z586*J586/I586,2),"")</f>
        <v>39</v>
      </c>
      <c r="AB586" t="s">
        <v>42</v>
      </c>
      <c r="AC586" t="s">
        <v>867</v>
      </c>
      <c r="AD586" t="s">
        <v>48</v>
      </c>
      <c r="AE586" t="s">
        <v>45</v>
      </c>
    </row>
    <row r="587">
      <c r="A587">
        <v>1161246</v>
      </c>
      <c r="B587">
        <v>1161246</v>
      </c>
      <c r="C587" t="s">
        <v>969</v>
      </c>
      <c r="D587" t="s">
        <v>866</v>
      </c>
      <c r="E587" t="s">
        <v>92</v>
      </c>
      <c r="F587" s="1">
        <v>3</v>
      </c>
      <c r="G587" s="2">
        <v>0.4</v>
      </c>
      <c r="I587" s="1">
        <v>4.2</v>
      </c>
      <c r="J587" s="1" t="s">
        <f>IF(AND(ISNUMBER(F587),ISNUMBER(H587)),ROUND(F587*(1+H587),2),"")</f>
        <v>39</v>
      </c>
      <c r="K587" s="2" t="s">
        <f>IF(AND(ISNUMBER(I587),I587&gt;0,ISNUMBER(J587)),J587/I587-1,"")</f>
        <v>39</v>
      </c>
      <c r="L587" t="s">
        <v>38</v>
      </c>
      <c r="N587" s="1" t="s">
        <f>IF(AND(ISNUMBER(U587),U587&gt;0,ISNUMBER(J587)),ROUND(J587/U587,2),"")</f>
        <v>39</v>
      </c>
      <c r="Q587" t="s">
        <v>166</v>
      </c>
      <c r="R587" t="s">
        <v>39</v>
      </c>
      <c r="S587">
        <v>1006818</v>
      </c>
      <c r="T587">
        <v>1006818</v>
      </c>
      <c r="X587" t="s">
        <v>41</v>
      </c>
      <c r="Z587" s="1">
        <v>4.2</v>
      </c>
      <c r="AA587" s="1" t="s">
        <f>IF(AND(ISNUMBER(Z587),ISNUMBER(I587),I587&gt;0,ISNUMBER(J587)),ROUND(Z587*J587/I587,2),"")</f>
        <v>39</v>
      </c>
      <c r="AB587" t="s">
        <v>42</v>
      </c>
      <c r="AC587" t="s">
        <v>867</v>
      </c>
      <c r="AD587" t="s">
        <v>44</v>
      </c>
      <c r="AE587" t="s">
        <v>45</v>
      </c>
    </row>
    <row r="588">
      <c r="A588">
        <v>1139025</v>
      </c>
      <c r="B588">
        <v>1139025</v>
      </c>
      <c r="C588" t="s">
        <v>970</v>
      </c>
      <c r="D588" t="s">
        <v>866</v>
      </c>
      <c r="E588" t="s">
        <v>971</v>
      </c>
      <c r="F588" s="1">
        <v>1.35</v>
      </c>
      <c r="G588" s="2">
        <v>0.4</v>
      </c>
      <c r="I588" s="1">
        <v>1.89</v>
      </c>
      <c r="J588" s="1" t="s">
        <f>IF(AND(ISNUMBER(F588),ISNUMBER(H588)),ROUND(F588*(1+H588),2),"")</f>
        <v>39</v>
      </c>
      <c r="K588" s="2" t="s">
        <f>IF(AND(ISNUMBER(I588),I588&gt;0,ISNUMBER(J588)),J588/I588-1,"")</f>
        <v>39</v>
      </c>
      <c r="L588" t="s">
        <v>38</v>
      </c>
      <c r="N588" s="1" t="s">
        <f>IF(AND(ISNUMBER(U588),U588&gt;0,ISNUMBER(J588)),ROUND(J588/U588,2),"")</f>
        <v>39</v>
      </c>
      <c r="Q588" t="s">
        <v>166</v>
      </c>
      <c r="R588" t="s">
        <v>39</v>
      </c>
      <c r="S588">
        <v>976774</v>
      </c>
      <c r="T588">
        <v>976774</v>
      </c>
      <c r="X588" t="s">
        <v>41</v>
      </c>
      <c r="Z588" s="1">
        <v>1.89</v>
      </c>
      <c r="AA588" s="1" t="s">
        <f>IF(AND(ISNUMBER(Z588),ISNUMBER(I588),I588&gt;0,ISNUMBER(J588)),ROUND(Z588*J588/I588,2),"")</f>
        <v>39</v>
      </c>
      <c r="AB588" t="s">
        <v>42</v>
      </c>
      <c r="AC588" t="s">
        <v>867</v>
      </c>
      <c r="AD588" t="s">
        <v>48</v>
      </c>
      <c r="AE588" t="s">
        <v>45</v>
      </c>
    </row>
    <row r="589">
      <c r="A589">
        <v>1161250</v>
      </c>
      <c r="B589">
        <v>1161250</v>
      </c>
      <c r="C589" t="s">
        <v>972</v>
      </c>
      <c r="D589" t="s">
        <v>866</v>
      </c>
      <c r="E589" t="s">
        <v>92</v>
      </c>
      <c r="F589" s="1">
        <v>2</v>
      </c>
      <c r="G589" s="2">
        <v>0.4</v>
      </c>
      <c r="I589" s="1">
        <v>2.8</v>
      </c>
      <c r="J589" s="1" t="s">
        <f>IF(AND(ISNUMBER(F589),ISNUMBER(H589)),ROUND(F589*(1+H589),2),"")</f>
        <v>39</v>
      </c>
      <c r="K589" s="2" t="s">
        <f>IF(AND(ISNUMBER(I589),I589&gt;0,ISNUMBER(J589)),J589/I589-1,"")</f>
        <v>39</v>
      </c>
      <c r="L589" t="s">
        <v>38</v>
      </c>
      <c r="N589" s="1" t="s">
        <f>IF(AND(ISNUMBER(U589),U589&gt;0,ISNUMBER(J589)),ROUND(J589/U589,2),"")</f>
        <v>39</v>
      </c>
      <c r="Q589" t="s">
        <v>166</v>
      </c>
      <c r="R589" t="s">
        <v>39</v>
      </c>
      <c r="S589">
        <v>1006822</v>
      </c>
      <c r="T589">
        <v>1006822</v>
      </c>
      <c r="X589" t="s">
        <v>41</v>
      </c>
      <c r="Z589" s="1">
        <v>2.8</v>
      </c>
      <c r="AA589" s="1" t="s">
        <f>IF(AND(ISNUMBER(Z589),ISNUMBER(I589),I589&gt;0,ISNUMBER(J589)),ROUND(Z589*J589/I589,2),"")</f>
        <v>39</v>
      </c>
      <c r="AB589" t="s">
        <v>42</v>
      </c>
      <c r="AC589" t="s">
        <v>867</v>
      </c>
      <c r="AD589" t="s">
        <v>48</v>
      </c>
      <c r="AE589" t="s">
        <v>45</v>
      </c>
    </row>
    <row r="590">
      <c r="A590">
        <v>1157456</v>
      </c>
      <c r="B590">
        <v>1157456</v>
      </c>
      <c r="C590" t="s">
        <v>973</v>
      </c>
      <c r="D590" t="s">
        <v>866</v>
      </c>
      <c r="E590" t="s">
        <v>92</v>
      </c>
      <c r="F590" s="1">
        <v>3</v>
      </c>
      <c r="G590" s="2">
        <v>0.4</v>
      </c>
      <c r="I590" s="1">
        <v>4.2</v>
      </c>
      <c r="J590" s="1" t="s">
        <f>IF(AND(ISNUMBER(F590),ISNUMBER(H590)),ROUND(F590*(1+H590),2),"")</f>
        <v>39</v>
      </c>
      <c r="K590" s="2" t="s">
        <f>IF(AND(ISNUMBER(I590),I590&gt;0,ISNUMBER(J590)),J590/I590-1,"")</f>
        <v>39</v>
      </c>
      <c r="L590" t="s">
        <v>38</v>
      </c>
      <c r="N590" s="1" t="s">
        <f>IF(AND(ISNUMBER(U590),U590&gt;0,ISNUMBER(J590)),ROUND(J590/U590,2),"")</f>
        <v>39</v>
      </c>
      <c r="Q590" t="s">
        <v>166</v>
      </c>
      <c r="R590" t="s">
        <v>39</v>
      </c>
      <c r="S590">
        <v>1001257</v>
      </c>
      <c r="T590">
        <v>1001257</v>
      </c>
      <c r="X590" t="s">
        <v>41</v>
      </c>
      <c r="Z590" s="1">
        <v>4.2</v>
      </c>
      <c r="AA590" s="1" t="s">
        <f>IF(AND(ISNUMBER(Z590),ISNUMBER(I590),I590&gt;0,ISNUMBER(J590)),ROUND(Z590*J590/I590,2),"")</f>
        <v>39</v>
      </c>
      <c r="AB590" t="s">
        <v>42</v>
      </c>
      <c r="AC590" t="s">
        <v>867</v>
      </c>
      <c r="AD590" t="s">
        <v>48</v>
      </c>
      <c r="AE590" t="s">
        <v>45</v>
      </c>
    </row>
    <row r="591">
      <c r="A591">
        <v>1140518</v>
      </c>
      <c r="B591">
        <v>1140518</v>
      </c>
      <c r="C591" t="s">
        <v>974</v>
      </c>
      <c r="D591" t="s">
        <v>866</v>
      </c>
      <c r="E591" t="s">
        <v>100</v>
      </c>
      <c r="F591" s="1">
        <v>2.5</v>
      </c>
      <c r="G591" s="2">
        <v>0.4</v>
      </c>
      <c r="I591" s="1">
        <v>3.5</v>
      </c>
      <c r="J591" s="1" t="s">
        <f>IF(AND(ISNUMBER(F591),ISNUMBER(H591)),ROUND(F591*(1+H591),2),"")</f>
        <v>39</v>
      </c>
      <c r="K591" s="2" t="s">
        <f>IF(AND(ISNUMBER(I591),I591&gt;0,ISNUMBER(J591)),J591/I591-1,"")</f>
        <v>39</v>
      </c>
      <c r="L591" t="s">
        <v>38</v>
      </c>
      <c r="M591" s="1">
        <v>3.5</v>
      </c>
      <c r="N591" s="1" t="s">
        <f>IF(AND(ISNUMBER(U591),U591&gt;0,ISNUMBER(J591)),ROUND(J591/U591,2),"")</f>
        <v>39</v>
      </c>
      <c r="Q591" t="s">
        <v>166</v>
      </c>
      <c r="R591" t="s">
        <v>39</v>
      </c>
      <c r="S591">
        <v>978740</v>
      </c>
      <c r="T591">
        <v>978740</v>
      </c>
      <c r="U591" s="3">
        <v>1</v>
      </c>
      <c r="X591" t="s">
        <v>41</v>
      </c>
      <c r="Z591" s="1">
        <v>3.5</v>
      </c>
      <c r="AA591" s="1" t="s">
        <f>IF(AND(ISNUMBER(Z591),ISNUMBER(I591),I591&gt;0,ISNUMBER(J591)),ROUND(Z591*J591/I591,2),"")</f>
        <v>39</v>
      </c>
      <c r="AB591" t="s">
        <v>42</v>
      </c>
      <c r="AC591" t="s">
        <v>867</v>
      </c>
      <c r="AD591" t="s">
        <v>48</v>
      </c>
      <c r="AE591" t="s">
        <v>45</v>
      </c>
    </row>
    <row r="592">
      <c r="A592">
        <v>1157446</v>
      </c>
      <c r="B592">
        <v>1157446</v>
      </c>
      <c r="C592" t="s">
        <v>975</v>
      </c>
      <c r="D592" t="s">
        <v>866</v>
      </c>
      <c r="E592" t="s">
        <v>100</v>
      </c>
      <c r="F592" s="1">
        <v>3</v>
      </c>
      <c r="G592" s="2">
        <v>0.4</v>
      </c>
      <c r="I592" s="1">
        <v>4.2</v>
      </c>
      <c r="J592" s="1" t="s">
        <f>IF(AND(ISNUMBER(F592),ISNUMBER(H592)),ROUND(F592*(1+H592),2),"")</f>
        <v>39</v>
      </c>
      <c r="K592" s="2" t="s">
        <f>IF(AND(ISNUMBER(I592),I592&gt;0,ISNUMBER(J592)),J592/I592-1,"")</f>
        <v>39</v>
      </c>
      <c r="L592" t="s">
        <v>38</v>
      </c>
      <c r="M592" s="1">
        <v>4.2</v>
      </c>
      <c r="N592" s="1" t="s">
        <f>IF(AND(ISNUMBER(U592),U592&gt;0,ISNUMBER(J592)),ROUND(J592/U592,2),"")</f>
        <v>39</v>
      </c>
      <c r="Q592" t="s">
        <v>166</v>
      </c>
      <c r="R592" t="s">
        <v>39</v>
      </c>
      <c r="S592">
        <v>1001247</v>
      </c>
      <c r="T592">
        <v>1001247</v>
      </c>
      <c r="U592" s="3">
        <v>1</v>
      </c>
      <c r="X592" t="s">
        <v>41</v>
      </c>
      <c r="Z592" s="1">
        <v>4.2</v>
      </c>
      <c r="AA592" s="1" t="s">
        <f>IF(AND(ISNUMBER(Z592),ISNUMBER(I592),I592&gt;0,ISNUMBER(J592)),ROUND(Z592*J592/I592,2),"")</f>
        <v>39</v>
      </c>
      <c r="AB592" t="s">
        <v>42</v>
      </c>
      <c r="AC592" t="s">
        <v>867</v>
      </c>
      <c r="AD592" t="s">
        <v>48</v>
      </c>
      <c r="AE592" t="s">
        <v>45</v>
      </c>
    </row>
    <row r="593">
      <c r="A593">
        <v>805839</v>
      </c>
      <c r="B593">
        <v>805839</v>
      </c>
      <c r="C593" t="s">
        <v>976</v>
      </c>
      <c r="D593" t="s">
        <v>866</v>
      </c>
      <c r="E593" t="s">
        <v>100</v>
      </c>
      <c r="F593" s="1">
        <v>3.25</v>
      </c>
      <c r="G593" s="2">
        <v>-0.15384615384615385</v>
      </c>
      <c r="I593" s="1">
        <v>2.75</v>
      </c>
      <c r="J593" s="1" t="s">
        <f>IF(AND(ISNUMBER(F593),ISNUMBER(H593)),ROUND(F593*(1+H593),2),"")</f>
        <v>39</v>
      </c>
      <c r="K593" s="2" t="s">
        <f>IF(AND(ISNUMBER(I593),I593&gt;0,ISNUMBER(J593)),J593/I593-1,"")</f>
        <v>39</v>
      </c>
      <c r="L593" t="s">
        <v>751</v>
      </c>
      <c r="M593" s="1">
        <v>2.75</v>
      </c>
      <c r="N593" s="1" t="s">
        <f>IF(AND(ISNUMBER(U593),U593&gt;0,ISNUMBER(J593)),ROUND(J593/U593,2),"")</f>
        <v>39</v>
      </c>
      <c r="Q593" t="s">
        <v>166</v>
      </c>
      <c r="R593" t="s">
        <v>39</v>
      </c>
      <c r="S593">
        <v>526897</v>
      </c>
      <c r="T593">
        <v>526897</v>
      </c>
      <c r="U593" s="3">
        <v>1</v>
      </c>
      <c r="X593" t="s">
        <v>41</v>
      </c>
      <c r="AA593" s="1" t="s">
        <f>IF(AND(ISNUMBER(Z593),ISNUMBER(I593),I593&gt;0,ISNUMBER(J593)),ROUND(Z593*J593/I593,2),"")</f>
        <v>39</v>
      </c>
      <c r="AB593" t="s">
        <v>977</v>
      </c>
      <c r="AC593" t="s">
        <v>894</v>
      </c>
      <c r="AD593" t="s">
        <v>48</v>
      </c>
      <c r="AE593" t="s">
        <v>45</v>
      </c>
    </row>
    <row r="594">
      <c r="A594">
        <v>1148272</v>
      </c>
      <c r="B594">
        <v>1148272</v>
      </c>
      <c r="C594" t="s">
        <v>708</v>
      </c>
      <c r="D594" t="s">
        <v>866</v>
      </c>
      <c r="E594" t="s">
        <v>707</v>
      </c>
      <c r="F594" s="1">
        <v>5.95</v>
      </c>
      <c r="G594" s="2">
        <v>0.4</v>
      </c>
      <c r="I594" s="1">
        <v>8.33</v>
      </c>
      <c r="J594" s="1" t="s">
        <f>IF(AND(ISNUMBER(F594),ISNUMBER(H594)),ROUND(F594*(1+H594),2),"")</f>
        <v>39</v>
      </c>
      <c r="K594" s="2" t="s">
        <f>IF(AND(ISNUMBER(I594),I594&gt;0,ISNUMBER(J594)),J594/I594-1,"")</f>
        <v>39</v>
      </c>
      <c r="L594" t="s">
        <v>38</v>
      </c>
      <c r="M594" s="1">
        <v>266.56</v>
      </c>
      <c r="N594" s="1" t="s">
        <f>IF(AND(ISNUMBER(U594),U594&gt;0,ISNUMBER(J594)),ROUND(J594/U594,2),"")</f>
        <v>39</v>
      </c>
      <c r="Q594" t="s">
        <v>166</v>
      </c>
      <c r="R594" t="s">
        <v>39</v>
      </c>
      <c r="S594">
        <v>988901</v>
      </c>
      <c r="T594">
        <v>988901</v>
      </c>
      <c r="U594" s="3">
        <v>0.03125</v>
      </c>
      <c r="X594" t="s">
        <v>41</v>
      </c>
      <c r="Z594" s="1">
        <v>8.33</v>
      </c>
      <c r="AA594" s="1" t="s">
        <f>IF(AND(ISNUMBER(Z594),ISNUMBER(I594),I594&gt;0,ISNUMBER(J594)),ROUND(Z594*J594/I594,2),"")</f>
        <v>39</v>
      </c>
      <c r="AB594" t="s">
        <v>42</v>
      </c>
      <c r="AC594" t="s">
        <v>978</v>
      </c>
      <c r="AD594" t="s">
        <v>48</v>
      </c>
      <c r="AE594" t="s">
        <v>45</v>
      </c>
    </row>
    <row r="595">
      <c r="A595">
        <v>1148268</v>
      </c>
      <c r="B595">
        <v>1148268</v>
      </c>
      <c r="C595" t="s">
        <v>713</v>
      </c>
      <c r="D595" t="s">
        <v>866</v>
      </c>
      <c r="E595" t="s">
        <v>707</v>
      </c>
      <c r="F595" s="1">
        <v>5.95</v>
      </c>
      <c r="G595" s="2">
        <v>0.4</v>
      </c>
      <c r="I595" s="1">
        <v>8.33</v>
      </c>
      <c r="J595" s="1" t="s">
        <f>IF(AND(ISNUMBER(F595),ISNUMBER(H595)),ROUND(F595*(1+H595),2),"")</f>
        <v>39</v>
      </c>
      <c r="K595" s="2" t="s">
        <f>IF(AND(ISNUMBER(I595),I595&gt;0,ISNUMBER(J595)),J595/I595-1,"")</f>
        <v>39</v>
      </c>
      <c r="L595" t="s">
        <v>38</v>
      </c>
      <c r="N595" s="1" t="s">
        <f>IF(AND(ISNUMBER(U595),U595&gt;0,ISNUMBER(J595)),ROUND(J595/U595,2),"")</f>
        <v>39</v>
      </c>
      <c r="Q595" t="s">
        <v>166</v>
      </c>
      <c r="R595" t="s">
        <v>39</v>
      </c>
      <c r="S595">
        <v>988897</v>
      </c>
      <c r="T595">
        <v>988897</v>
      </c>
      <c r="X595" t="s">
        <v>41</v>
      </c>
      <c r="Z595" s="1">
        <v>8.33</v>
      </c>
      <c r="AA595" s="1" t="s">
        <f>IF(AND(ISNUMBER(Z595),ISNUMBER(I595),I595&gt;0,ISNUMBER(J595)),ROUND(Z595*J595/I595,2),"")</f>
        <v>39</v>
      </c>
      <c r="AB595" t="s">
        <v>42</v>
      </c>
      <c r="AC595" t="s">
        <v>867</v>
      </c>
      <c r="AD595" t="s">
        <v>44</v>
      </c>
      <c r="AE595" t="s">
        <v>45</v>
      </c>
    </row>
    <row r="596">
      <c r="A596">
        <v>1148269</v>
      </c>
      <c r="B596">
        <v>1148269</v>
      </c>
      <c r="C596" t="s">
        <v>715</v>
      </c>
      <c r="D596" t="s">
        <v>866</v>
      </c>
      <c r="E596" t="s">
        <v>707</v>
      </c>
      <c r="F596" s="1">
        <v>5.95</v>
      </c>
      <c r="G596" s="2">
        <v>0.4</v>
      </c>
      <c r="I596" s="1">
        <v>8.33</v>
      </c>
      <c r="J596" s="1" t="s">
        <f>IF(AND(ISNUMBER(F596),ISNUMBER(H596)),ROUND(F596*(1+H596),2),"")</f>
        <v>39</v>
      </c>
      <c r="K596" s="2" t="s">
        <f>IF(AND(ISNUMBER(I596),I596&gt;0,ISNUMBER(J596)),J596/I596-1,"")</f>
        <v>39</v>
      </c>
      <c r="L596" t="s">
        <v>38</v>
      </c>
      <c r="M596" s="1">
        <v>266.56</v>
      </c>
      <c r="N596" s="1" t="s">
        <f>IF(AND(ISNUMBER(U596),U596&gt;0,ISNUMBER(J596)),ROUND(J596/U596,2),"")</f>
        <v>39</v>
      </c>
      <c r="Q596" t="s">
        <v>166</v>
      </c>
      <c r="R596" t="s">
        <v>39</v>
      </c>
      <c r="S596">
        <v>988898</v>
      </c>
      <c r="T596">
        <v>988898</v>
      </c>
      <c r="U596" s="3">
        <v>0.03125</v>
      </c>
      <c r="X596" t="s">
        <v>41</v>
      </c>
      <c r="Z596" s="1">
        <v>8.33</v>
      </c>
      <c r="AA596" s="1" t="s">
        <f>IF(AND(ISNUMBER(Z596),ISNUMBER(I596),I596&gt;0,ISNUMBER(J596)),ROUND(Z596*J596/I596,2),"")</f>
        <v>39</v>
      </c>
      <c r="AB596" t="s">
        <v>42</v>
      </c>
      <c r="AC596" t="s">
        <v>867</v>
      </c>
      <c r="AD596" t="s">
        <v>44</v>
      </c>
      <c r="AE596" t="s">
        <v>45</v>
      </c>
    </row>
    <row r="597">
      <c r="A597">
        <v>1164992</v>
      </c>
      <c r="B597">
        <v>1164992</v>
      </c>
      <c r="C597" t="s">
        <v>979</v>
      </c>
      <c r="D597" t="s">
        <v>866</v>
      </c>
      <c r="E597" t="s">
        <v>100</v>
      </c>
      <c r="F597" s="1">
        <v>2.8</v>
      </c>
      <c r="G597" s="2">
        <v>0.4</v>
      </c>
      <c r="I597" s="1">
        <v>3.92</v>
      </c>
      <c r="J597" s="1" t="s">
        <f>IF(AND(ISNUMBER(F597),ISNUMBER(H597)),ROUND(F597*(1+H597),2),"")</f>
        <v>39</v>
      </c>
      <c r="K597" s="2" t="s">
        <f>IF(AND(ISNUMBER(I597),I597&gt;0,ISNUMBER(J597)),J597/I597-1,"")</f>
        <v>39</v>
      </c>
      <c r="L597" t="s">
        <v>38</v>
      </c>
      <c r="M597" s="1">
        <v>3.92</v>
      </c>
      <c r="N597" s="1" t="s">
        <f>IF(AND(ISNUMBER(U597),U597&gt;0,ISNUMBER(J597)),ROUND(J597/U597,2),"")</f>
        <v>39</v>
      </c>
      <c r="Q597" t="s">
        <v>166</v>
      </c>
      <c r="R597" t="s">
        <v>39</v>
      </c>
      <c r="S597">
        <v>1013033</v>
      </c>
      <c r="T597">
        <v>1013033</v>
      </c>
      <c r="U597" s="3">
        <v>1</v>
      </c>
      <c r="X597" t="s">
        <v>41</v>
      </c>
      <c r="Z597" s="1">
        <v>3.92</v>
      </c>
      <c r="AA597" s="1" t="s">
        <f>IF(AND(ISNUMBER(Z597),ISNUMBER(I597),I597&gt;0,ISNUMBER(J597)),ROUND(Z597*J597/I597,2),"")</f>
        <v>39</v>
      </c>
      <c r="AB597" t="s">
        <v>42</v>
      </c>
      <c r="AC597" t="s">
        <v>867</v>
      </c>
      <c r="AD597" t="s">
        <v>44</v>
      </c>
      <c r="AE597" t="s">
        <v>45</v>
      </c>
    </row>
    <row r="598">
      <c r="A598">
        <v>805846</v>
      </c>
      <c r="B598">
        <v>805846</v>
      </c>
      <c r="C598" t="s">
        <v>839</v>
      </c>
      <c r="D598" t="s">
        <v>866</v>
      </c>
      <c r="E598" t="s">
        <v>100</v>
      </c>
      <c r="F598" s="1">
        <v>2</v>
      </c>
      <c r="G598" s="2">
        <v>-0.125</v>
      </c>
      <c r="I598" s="1">
        <v>1.75</v>
      </c>
      <c r="J598" s="1" t="s">
        <f>IF(AND(ISNUMBER(F598),ISNUMBER(H598)),ROUND(F598*(1+H598),2),"")</f>
        <v>39</v>
      </c>
      <c r="K598" s="2" t="s">
        <f>IF(AND(ISNUMBER(I598),I598&gt;0,ISNUMBER(J598)),J598/I598-1,"")</f>
        <v>39</v>
      </c>
      <c r="L598" t="s">
        <v>751</v>
      </c>
      <c r="M598" s="1">
        <v>1.75</v>
      </c>
      <c r="N598" s="1" t="s">
        <f>IF(AND(ISNUMBER(U598),U598&gt;0,ISNUMBER(J598)),ROUND(J598/U598,2),"")</f>
        <v>39</v>
      </c>
      <c r="Q598" t="s">
        <v>166</v>
      </c>
      <c r="R598" t="s">
        <v>39</v>
      </c>
      <c r="S598">
        <v>526904</v>
      </c>
      <c r="T598">
        <v>526904</v>
      </c>
      <c r="U598" s="3">
        <v>1</v>
      </c>
      <c r="X598" t="s">
        <v>41</v>
      </c>
      <c r="AA598" s="1" t="s">
        <f>IF(AND(ISNUMBER(Z598),ISNUMBER(I598),I598&gt;0,ISNUMBER(J598)),ROUND(Z598*J598/I598,2),"")</f>
        <v>39</v>
      </c>
      <c r="AB598" t="s">
        <v>980</v>
      </c>
      <c r="AC598" t="s">
        <v>894</v>
      </c>
      <c r="AD598" t="s">
        <v>48</v>
      </c>
      <c r="AE598" t="s">
        <v>45</v>
      </c>
    </row>
    <row r="599">
      <c r="A599">
        <v>1164990</v>
      </c>
      <c r="B599">
        <v>1164990</v>
      </c>
      <c r="C599" t="s">
        <v>981</v>
      </c>
      <c r="D599" t="s">
        <v>866</v>
      </c>
      <c r="E599" t="s">
        <v>100</v>
      </c>
      <c r="F599" s="1">
        <v>2.75</v>
      </c>
      <c r="G599" s="2">
        <v>0.4</v>
      </c>
      <c r="I599" s="1">
        <v>3.85</v>
      </c>
      <c r="J599" s="1" t="s">
        <f>IF(AND(ISNUMBER(F599),ISNUMBER(H599)),ROUND(F599*(1+H599),2),"")</f>
        <v>39</v>
      </c>
      <c r="K599" s="2" t="s">
        <f>IF(AND(ISNUMBER(I599),I599&gt;0,ISNUMBER(J599)),J599/I599-1,"")</f>
        <v>39</v>
      </c>
      <c r="L599" t="s">
        <v>38</v>
      </c>
      <c r="M599" s="1">
        <v>3.85</v>
      </c>
      <c r="N599" s="1" t="s">
        <f>IF(AND(ISNUMBER(U599),U599&gt;0,ISNUMBER(J599)),ROUND(J599/U599,2),"")</f>
        <v>39</v>
      </c>
      <c r="Q599" t="s">
        <v>166</v>
      </c>
      <c r="R599" t="s">
        <v>39</v>
      </c>
      <c r="S599">
        <v>1013017</v>
      </c>
      <c r="T599">
        <v>1013017</v>
      </c>
      <c r="U599" s="3">
        <v>1</v>
      </c>
      <c r="X599" t="s">
        <v>41</v>
      </c>
      <c r="Z599" s="1">
        <v>3.85</v>
      </c>
      <c r="AA599" s="1" t="s">
        <f>IF(AND(ISNUMBER(Z599),ISNUMBER(I599),I599&gt;0,ISNUMBER(J599)),ROUND(Z599*J599/I599,2),"")</f>
        <v>39</v>
      </c>
      <c r="AB599" t="s">
        <v>42</v>
      </c>
      <c r="AC599" t="s">
        <v>867</v>
      </c>
      <c r="AD599" t="s">
        <v>44</v>
      </c>
      <c r="AE599" t="s">
        <v>45</v>
      </c>
    </row>
    <row r="600">
      <c r="A600">
        <v>1162012</v>
      </c>
      <c r="B600">
        <v>1162012</v>
      </c>
      <c r="C600" t="s">
        <v>982</v>
      </c>
      <c r="D600" t="s">
        <v>866</v>
      </c>
      <c r="E600" t="s">
        <v>100</v>
      </c>
      <c r="F600" s="1">
        <v>1.5</v>
      </c>
      <c r="G600" s="2">
        <v>0.4</v>
      </c>
      <c r="I600" s="1">
        <v>2.1</v>
      </c>
      <c r="J600" s="1" t="s">
        <f>IF(AND(ISNUMBER(F600),ISNUMBER(H600)),ROUND(F600*(1+H600),2),"")</f>
        <v>39</v>
      </c>
      <c r="K600" s="2" t="s">
        <f>IF(AND(ISNUMBER(I600),I600&gt;0,ISNUMBER(J600)),J600/I600-1,"")</f>
        <v>39</v>
      </c>
      <c r="L600" t="s">
        <v>38</v>
      </c>
      <c r="M600" s="1">
        <v>2.1</v>
      </c>
      <c r="N600" s="1" t="s">
        <f>IF(AND(ISNUMBER(U600),U600&gt;0,ISNUMBER(J600)),ROUND(J600/U600,2),"")</f>
        <v>39</v>
      </c>
      <c r="Q600" t="s">
        <v>166</v>
      </c>
      <c r="R600" t="s">
        <v>39</v>
      </c>
      <c r="S600">
        <v>1008804</v>
      </c>
      <c r="T600">
        <v>1008804</v>
      </c>
      <c r="U600" s="3">
        <v>1</v>
      </c>
      <c r="X600" t="s">
        <v>41</v>
      </c>
      <c r="Z600" s="1">
        <v>2.1</v>
      </c>
      <c r="AA600" s="1" t="s">
        <f>IF(AND(ISNUMBER(Z600),ISNUMBER(I600),I600&gt;0,ISNUMBER(J600)),ROUND(Z600*J600/I600,2),"")</f>
        <v>39</v>
      </c>
      <c r="AB600" t="s">
        <v>42</v>
      </c>
      <c r="AC600" t="s">
        <v>867</v>
      </c>
      <c r="AD600" t="s">
        <v>44</v>
      </c>
      <c r="AE600" t="s">
        <v>45</v>
      </c>
    </row>
    <row r="601">
      <c r="A601">
        <v>1133725</v>
      </c>
      <c r="B601">
        <v>1133725</v>
      </c>
      <c r="C601" t="s">
        <v>983</v>
      </c>
      <c r="D601" t="s">
        <v>984</v>
      </c>
      <c r="E601" t="s">
        <v>100</v>
      </c>
      <c r="F601" s="1">
        <v>5.85</v>
      </c>
      <c r="G601" s="2">
        <v>0.4</v>
      </c>
      <c r="H601" s="2">
        <v>0.512</v>
      </c>
      <c r="I601" s="1">
        <v>8.19</v>
      </c>
      <c r="J601" s="1">
        <f>IF(AND(ISNUMBER(F601),ISNUMBER(H601)),ROUND(F601*(1+H601),2),"")</f>
        <v>8.85</v>
      </c>
      <c r="K601" s="2">
        <f>IF(AND(ISNUMBER(I601),I601&gt;0,ISNUMBER(J601)),J601/I601-1,"")</f>
        <v>0.08058608058608052</v>
      </c>
      <c r="L601" t="s">
        <v>38</v>
      </c>
      <c r="M601" s="1">
        <v>8.19</v>
      </c>
      <c r="N601" s="1">
        <f>IF(AND(ISNUMBER(U601),U601&gt;0,ISNUMBER(J601)),ROUND(J601/U601,2),"")</f>
        <v>8.85</v>
      </c>
      <c r="Q601" t="s">
        <v>40</v>
      </c>
      <c r="R601" t="s">
        <v>39</v>
      </c>
      <c r="S601">
        <v>969104</v>
      </c>
      <c r="T601">
        <v>969104</v>
      </c>
      <c r="U601" s="3">
        <v>1</v>
      </c>
      <c r="X601" t="s">
        <v>41</v>
      </c>
      <c r="Z601" s="1">
        <v>8.19</v>
      </c>
      <c r="AA601" s="1">
        <f>IF(AND(ISNUMBER(Z601),ISNUMBER(I601),I601&gt;0,ISNUMBER(J601)),ROUND(Z601*J601/I601,2),"")</f>
        <v>8.85</v>
      </c>
      <c r="AB601" t="s">
        <v>42</v>
      </c>
      <c r="AC601" t="s">
        <v>43</v>
      </c>
      <c r="AD601" t="s">
        <v>48</v>
      </c>
      <c r="AE601" t="s">
        <v>45</v>
      </c>
    </row>
    <row r="602">
      <c r="A602">
        <v>805850</v>
      </c>
      <c r="C602" t="s">
        <v>985</v>
      </c>
      <c r="D602" t="s">
        <v>984</v>
      </c>
      <c r="E602" t="s">
        <v>100</v>
      </c>
      <c r="J602" s="1" t="s">
        <f>IF(AND(ISNUMBER(F602),ISNUMBER(H602)),ROUND(F602*(1+H602),2),"")</f>
        <v>39</v>
      </c>
      <c r="K602" s="2" t="s">
        <f>IF(AND(ISNUMBER(I602),I602&gt;0,ISNUMBER(J602)),J602/I602-1,"")</f>
        <v>39</v>
      </c>
      <c r="L602" t="s">
        <v>38</v>
      </c>
      <c r="N602" s="1" t="s">
        <f>IF(AND(ISNUMBER(U602),U602&gt;0,ISNUMBER(J602)),ROUND(J602/U602,2),"")</f>
        <v>39</v>
      </c>
      <c r="Q602" t="s">
        <v>166</v>
      </c>
      <c r="R602" t="s">
        <v>39</v>
      </c>
      <c r="S602">
        <v>526908</v>
      </c>
      <c r="U602" s="3">
        <v>1</v>
      </c>
      <c r="X602" t="s">
        <v>41</v>
      </c>
      <c r="AA602" s="1" t="s">
        <f>IF(AND(ISNUMBER(Z602),ISNUMBER(I602),I602&gt;0,ISNUMBER(J602)),ROUND(Z602*J602/I602,2),"")</f>
        <v>39</v>
      </c>
      <c r="AB602" t="s">
        <v>167</v>
      </c>
      <c r="AC602" t="s">
        <v>986</v>
      </c>
      <c r="AD602" t="s">
        <v>48</v>
      </c>
      <c r="AE602" t="s">
        <v>45</v>
      </c>
    </row>
    <row r="603">
      <c r="A603">
        <v>981428</v>
      </c>
      <c r="B603">
        <v>981428</v>
      </c>
      <c r="C603" t="s">
        <v>987</v>
      </c>
      <c r="D603" t="s">
        <v>984</v>
      </c>
      <c r="E603" t="s">
        <v>98</v>
      </c>
      <c r="F603" s="1">
        <v>2.5</v>
      </c>
      <c r="G603" s="2">
        <v>0.4</v>
      </c>
      <c r="H603" s="2">
        <v>0.512</v>
      </c>
      <c r="I603" s="1">
        <v>3.5</v>
      </c>
      <c r="J603" s="1">
        <f>IF(AND(ISNUMBER(F603),ISNUMBER(H603)),ROUND(F603*(1+H603),2),"")</f>
        <v>3.78</v>
      </c>
      <c r="K603" s="2">
        <f>IF(AND(ISNUMBER(I603),I603&gt;0,ISNUMBER(J603)),J603/I603-1,"")</f>
        <v>0.07999999999999985</v>
      </c>
      <c r="L603" t="s">
        <v>38</v>
      </c>
      <c r="N603" s="1" t="s">
        <f>IF(AND(ISNUMBER(U603),U603&gt;0,ISNUMBER(J603)),ROUND(J603/U603,2),"")</f>
        <v>39</v>
      </c>
      <c r="Q603" t="s">
        <v>40</v>
      </c>
      <c r="R603" t="s">
        <v>39</v>
      </c>
      <c r="S603">
        <v>749861</v>
      </c>
      <c r="T603">
        <v>749861</v>
      </c>
      <c r="X603" t="s">
        <v>41</v>
      </c>
      <c r="Z603" s="1">
        <v>3.5</v>
      </c>
      <c r="AA603" s="1">
        <f>IF(AND(ISNUMBER(Z603),ISNUMBER(I603),I603&gt;0,ISNUMBER(J603)),ROUND(Z603*J603/I603,2),"")</f>
        <v>3.78</v>
      </c>
      <c r="AB603" t="s">
        <v>42</v>
      </c>
      <c r="AC603" t="s">
        <v>43</v>
      </c>
      <c r="AD603" t="s">
        <v>48</v>
      </c>
      <c r="AE603" t="s">
        <v>45</v>
      </c>
    </row>
    <row r="604">
      <c r="A604">
        <v>1028363</v>
      </c>
      <c r="C604" t="s">
        <v>988</v>
      </c>
      <c r="D604" t="s">
        <v>984</v>
      </c>
      <c r="E604" t="s">
        <v>989</v>
      </c>
      <c r="J604" s="1" t="s">
        <f>IF(AND(ISNUMBER(F604),ISNUMBER(H604)),ROUND(F604*(1+H604),2),"")</f>
        <v>39</v>
      </c>
      <c r="K604" s="2" t="s">
        <f>IF(AND(ISNUMBER(I604),I604&gt;0,ISNUMBER(J604)),J604/I604-1,"")</f>
        <v>39</v>
      </c>
      <c r="L604" t="s">
        <v>38</v>
      </c>
      <c r="N604" s="1" t="s">
        <f>IF(AND(ISNUMBER(U604),U604&gt;0,ISNUMBER(J604)),ROUND(J604/U604,2),"")</f>
        <v>39</v>
      </c>
      <c r="Q604" t="s">
        <v>166</v>
      </c>
      <c r="R604" t="s">
        <v>39</v>
      </c>
      <c r="S604">
        <v>818331</v>
      </c>
      <c r="U604" s="3">
        <v>0.234375</v>
      </c>
      <c r="X604" t="s">
        <v>41</v>
      </c>
      <c r="AA604" s="1" t="s">
        <f>IF(AND(ISNUMBER(Z604),ISNUMBER(I604),I604&gt;0,ISNUMBER(J604)),ROUND(Z604*J604/I604,2),"")</f>
        <v>39</v>
      </c>
      <c r="AB604" t="s">
        <v>167</v>
      </c>
      <c r="AC604" t="s">
        <v>986</v>
      </c>
      <c r="AD604" t="s">
        <v>48</v>
      </c>
      <c r="AE604" t="s">
        <v>45</v>
      </c>
    </row>
    <row r="605">
      <c r="A605">
        <v>805772</v>
      </c>
      <c r="B605">
        <v>805772</v>
      </c>
      <c r="C605" t="s">
        <v>990</v>
      </c>
      <c r="D605" t="s">
        <v>984</v>
      </c>
      <c r="E605" t="s">
        <v>991</v>
      </c>
      <c r="F605" s="1">
        <v>4.75</v>
      </c>
      <c r="G605" s="2">
        <v>0.4</v>
      </c>
      <c r="H605" s="2">
        <v>0.512</v>
      </c>
      <c r="I605" s="1">
        <v>6.65</v>
      </c>
      <c r="J605" s="1">
        <f>IF(AND(ISNUMBER(F605),ISNUMBER(H605)),ROUND(F605*(1+H605),2),"")</f>
        <v>7.18</v>
      </c>
      <c r="K605" s="2">
        <f>IF(AND(ISNUMBER(I605),I605&gt;0,ISNUMBER(J605)),J605/I605-1,"")</f>
        <v>0.07969924812030071</v>
      </c>
      <c r="L605" t="s">
        <v>38</v>
      </c>
      <c r="N605" s="1" t="s">
        <f>IF(AND(ISNUMBER(U605),U605&gt;0,ISNUMBER(J605)),ROUND(J605/U605,2),"")</f>
        <v>39</v>
      </c>
      <c r="Q605" t="s">
        <v>40</v>
      </c>
      <c r="R605" t="s">
        <v>39</v>
      </c>
      <c r="S605">
        <v>526828</v>
      </c>
      <c r="T605">
        <v>526828</v>
      </c>
      <c r="X605" t="s">
        <v>41</v>
      </c>
      <c r="Z605" s="1">
        <v>6.65</v>
      </c>
      <c r="AA605" s="1">
        <f>IF(AND(ISNUMBER(Z605),ISNUMBER(I605),I605&gt;0,ISNUMBER(J605)),ROUND(Z605*J605/I605,2),"")</f>
        <v>7.18</v>
      </c>
      <c r="AB605" t="s">
        <v>42</v>
      </c>
      <c r="AC605" t="s">
        <v>43</v>
      </c>
      <c r="AD605" t="s">
        <v>48</v>
      </c>
      <c r="AE605" t="s">
        <v>45</v>
      </c>
    </row>
    <row r="606">
      <c r="A606">
        <v>890302</v>
      </c>
      <c r="B606">
        <v>890302</v>
      </c>
      <c r="C606" t="s">
        <v>992</v>
      </c>
      <c r="D606" t="s">
        <v>984</v>
      </c>
      <c r="E606" t="s">
        <v>194</v>
      </c>
      <c r="F606" s="1">
        <v>4</v>
      </c>
      <c r="G606" s="2">
        <v>0.4</v>
      </c>
      <c r="H606" s="2">
        <v>0.512</v>
      </c>
      <c r="I606" s="1">
        <v>5.6</v>
      </c>
      <c r="J606" s="1">
        <f>IF(AND(ISNUMBER(F606),ISNUMBER(H606)),ROUND(F606*(1+H606),2),"")</f>
        <v>6.05</v>
      </c>
      <c r="K606" s="2">
        <f>IF(AND(ISNUMBER(I606),I606&gt;0,ISNUMBER(J606)),J606/I606-1,"")</f>
        <v>0.0803571428571428</v>
      </c>
      <c r="L606" t="s">
        <v>38</v>
      </c>
      <c r="N606" s="1" t="s">
        <f>IF(AND(ISNUMBER(U606),U606&gt;0,ISNUMBER(J606)),ROUND(J606/U606,2),"")</f>
        <v>39</v>
      </c>
      <c r="Q606" t="s">
        <v>40</v>
      </c>
      <c r="R606" t="s">
        <v>39</v>
      </c>
      <c r="S606">
        <v>629769</v>
      </c>
      <c r="T606">
        <v>629769</v>
      </c>
      <c r="X606" t="s">
        <v>41</v>
      </c>
      <c r="Z606" s="1">
        <v>5.6</v>
      </c>
      <c r="AA606" s="1">
        <f>IF(AND(ISNUMBER(Z606),ISNUMBER(I606),I606&gt;0,ISNUMBER(J606)),ROUND(Z606*J606/I606,2),"")</f>
        <v>6.05</v>
      </c>
      <c r="AB606" t="s">
        <v>42</v>
      </c>
      <c r="AC606" t="s">
        <v>43</v>
      </c>
      <c r="AD606" t="s">
        <v>48</v>
      </c>
      <c r="AE606" t="s">
        <v>45</v>
      </c>
    </row>
    <row r="607">
      <c r="A607">
        <v>927368</v>
      </c>
      <c r="B607">
        <v>927368</v>
      </c>
      <c r="C607" t="s">
        <v>993</v>
      </c>
      <c r="D607" t="s">
        <v>984</v>
      </c>
      <c r="E607" t="s">
        <v>98</v>
      </c>
      <c r="F607" s="1">
        <v>2.5</v>
      </c>
      <c r="G607" s="2">
        <v>0.4</v>
      </c>
      <c r="H607" s="2">
        <v>0.512</v>
      </c>
      <c r="I607" s="1">
        <v>3.5</v>
      </c>
      <c r="J607" s="1">
        <f>IF(AND(ISNUMBER(F607),ISNUMBER(H607)),ROUND(F607*(1+H607),2),"")</f>
        <v>3.78</v>
      </c>
      <c r="K607" s="2">
        <f>IF(AND(ISNUMBER(I607),I607&gt;0,ISNUMBER(J607)),J607/I607-1,"")</f>
        <v>0.07999999999999985</v>
      </c>
      <c r="L607" t="s">
        <v>38</v>
      </c>
      <c r="N607" s="1" t="s">
        <f>IF(AND(ISNUMBER(U607),U607&gt;0,ISNUMBER(J607)),ROUND(J607/U607,2),"")</f>
        <v>39</v>
      </c>
      <c r="Q607" t="s">
        <v>40</v>
      </c>
      <c r="R607" t="s">
        <v>39</v>
      </c>
      <c r="S607">
        <v>675355</v>
      </c>
      <c r="T607">
        <v>675355</v>
      </c>
      <c r="X607" t="s">
        <v>41</v>
      </c>
      <c r="Z607" s="1">
        <v>3.5</v>
      </c>
      <c r="AA607" s="1">
        <f>IF(AND(ISNUMBER(Z607),ISNUMBER(I607),I607&gt;0,ISNUMBER(J607)),ROUND(Z607*J607/I607,2),"")</f>
        <v>3.78</v>
      </c>
      <c r="AB607" t="s">
        <v>42</v>
      </c>
      <c r="AC607" t="s">
        <v>43</v>
      </c>
      <c r="AD607" t="s">
        <v>48</v>
      </c>
      <c r="AE607" t="s">
        <v>45</v>
      </c>
    </row>
    <row r="608">
      <c r="A608">
        <v>1058761</v>
      </c>
      <c r="B608">
        <v>1058761</v>
      </c>
      <c r="C608" t="s">
        <v>994</v>
      </c>
      <c r="D608" t="s">
        <v>984</v>
      </c>
      <c r="E608" t="s">
        <v>98</v>
      </c>
      <c r="F608" s="1">
        <v>3.03</v>
      </c>
      <c r="G608" s="2">
        <v>0.4</v>
      </c>
      <c r="H608" s="2">
        <v>0.512</v>
      </c>
      <c r="I608" s="1">
        <v>4.24</v>
      </c>
      <c r="J608" s="1">
        <f>IF(AND(ISNUMBER(F608),ISNUMBER(H608)),ROUND(F608*(1+H608),2),"")</f>
        <v>4.58</v>
      </c>
      <c r="K608" s="2">
        <f>IF(AND(ISNUMBER(I608),I608&gt;0,ISNUMBER(J608)),J608/I608-1,"")</f>
        <v>0.08018867924528306</v>
      </c>
      <c r="L608" t="s">
        <v>38</v>
      </c>
      <c r="N608" s="1" t="s">
        <f>IF(AND(ISNUMBER(U608),U608&gt;0,ISNUMBER(J608)),ROUND(J608/U608,2),"")</f>
        <v>39</v>
      </c>
      <c r="Q608" t="s">
        <v>40</v>
      </c>
      <c r="R608" t="s">
        <v>39</v>
      </c>
      <c r="S608">
        <v>865053</v>
      </c>
      <c r="T608">
        <v>865053</v>
      </c>
      <c r="X608" t="s">
        <v>41</v>
      </c>
      <c r="Z608" s="1">
        <v>4.24</v>
      </c>
      <c r="AA608" s="1">
        <f>IF(AND(ISNUMBER(Z608),ISNUMBER(I608),I608&gt;0,ISNUMBER(J608)),ROUND(Z608*J608/I608,2),"")</f>
        <v>4.58</v>
      </c>
      <c r="AB608" t="s">
        <v>42</v>
      </c>
      <c r="AC608" t="s">
        <v>43</v>
      </c>
      <c r="AD608" t="s">
        <v>48</v>
      </c>
      <c r="AE608" t="s">
        <v>45</v>
      </c>
    </row>
    <row r="609">
      <c r="A609">
        <v>911653</v>
      </c>
      <c r="B609">
        <v>911653</v>
      </c>
      <c r="C609" t="s">
        <v>886</v>
      </c>
      <c r="D609" t="s">
        <v>984</v>
      </c>
      <c r="E609" t="s">
        <v>100</v>
      </c>
      <c r="F609" s="1">
        <v>1.8</v>
      </c>
      <c r="G609" s="2">
        <v>0.4</v>
      </c>
      <c r="H609" s="2">
        <v>0.512</v>
      </c>
      <c r="I609" s="1">
        <v>2.52</v>
      </c>
      <c r="J609" s="1">
        <f>IF(AND(ISNUMBER(F609),ISNUMBER(H609)),ROUND(F609*(1+H609),2),"")</f>
        <v>2.72</v>
      </c>
      <c r="K609" s="2">
        <f>IF(AND(ISNUMBER(I609),I609&gt;0,ISNUMBER(J609)),J609/I609-1,"")</f>
        <v>0.07936507936507953</v>
      </c>
      <c r="L609" t="s">
        <v>38</v>
      </c>
      <c r="M609" s="1">
        <v>2.52</v>
      </c>
      <c r="N609" s="1">
        <f>IF(AND(ISNUMBER(U609),U609&gt;0,ISNUMBER(J609)),ROUND(J609/U609,2),"")</f>
        <v>2.72</v>
      </c>
      <c r="Q609" t="s">
        <v>40</v>
      </c>
      <c r="R609" t="s">
        <v>39</v>
      </c>
      <c r="S609">
        <v>656880</v>
      </c>
      <c r="T609">
        <v>656880</v>
      </c>
      <c r="U609" s="3">
        <v>1</v>
      </c>
      <c r="X609" t="s">
        <v>41</v>
      </c>
      <c r="Z609" s="1">
        <v>2.52</v>
      </c>
      <c r="AA609" s="1">
        <f>IF(AND(ISNUMBER(Z609),ISNUMBER(I609),I609&gt;0,ISNUMBER(J609)),ROUND(Z609*J609/I609,2),"")</f>
        <v>2.72</v>
      </c>
      <c r="AB609" t="s">
        <v>42</v>
      </c>
      <c r="AC609" t="s">
        <v>43</v>
      </c>
      <c r="AD609" t="s">
        <v>48</v>
      </c>
      <c r="AE609" t="s">
        <v>45</v>
      </c>
    </row>
    <row r="610">
      <c r="A610">
        <v>883831</v>
      </c>
      <c r="B610">
        <v>883831</v>
      </c>
      <c r="C610" t="s">
        <v>995</v>
      </c>
      <c r="D610" t="s">
        <v>984</v>
      </c>
      <c r="E610" t="s">
        <v>996</v>
      </c>
      <c r="F610" s="1">
        <v>6.9</v>
      </c>
      <c r="G610" s="2">
        <v>0.4</v>
      </c>
      <c r="H610" s="2">
        <v>0.512</v>
      </c>
      <c r="I610" s="1">
        <v>9.66</v>
      </c>
      <c r="J610" s="1">
        <f>IF(AND(ISNUMBER(F610),ISNUMBER(H610)),ROUND(F610*(1+H610),2),"")</f>
        <v>10.43</v>
      </c>
      <c r="K610" s="2">
        <f>IF(AND(ISNUMBER(I610),I610&gt;0,ISNUMBER(J610)),J610/I610-1,"")</f>
        <v>0.07971014492753614</v>
      </c>
      <c r="L610" t="s">
        <v>38</v>
      </c>
      <c r="M610" s="1">
        <v>6.44</v>
      </c>
      <c r="N610" s="1">
        <f>IF(AND(ISNUMBER(U610),U610&gt;0,ISNUMBER(J610)),ROUND(J610/U610,2),"")</f>
        <v>6.95</v>
      </c>
      <c r="Q610" t="s">
        <v>40</v>
      </c>
      <c r="R610" t="s">
        <v>39</v>
      </c>
      <c r="S610">
        <v>621083</v>
      </c>
      <c r="T610">
        <v>621083</v>
      </c>
      <c r="U610" s="3">
        <v>1.5</v>
      </c>
      <c r="X610" t="s">
        <v>41</v>
      </c>
      <c r="Z610" s="1">
        <v>9.66</v>
      </c>
      <c r="AA610" s="1">
        <f>IF(AND(ISNUMBER(Z610),ISNUMBER(I610),I610&gt;0,ISNUMBER(J610)),ROUND(Z610*J610/I610,2),"")</f>
        <v>10.43</v>
      </c>
      <c r="AB610" t="s">
        <v>42</v>
      </c>
      <c r="AC610" t="s">
        <v>43</v>
      </c>
      <c r="AD610" t="s">
        <v>48</v>
      </c>
      <c r="AE610" t="s">
        <v>45</v>
      </c>
    </row>
    <row r="611">
      <c r="A611">
        <v>805831</v>
      </c>
      <c r="B611">
        <v>805831</v>
      </c>
      <c r="C611" t="s">
        <v>108</v>
      </c>
      <c r="D611" t="s">
        <v>984</v>
      </c>
      <c r="E611" t="s">
        <v>96</v>
      </c>
      <c r="F611" s="1">
        <v>1.65</v>
      </c>
      <c r="G611" s="2">
        <v>0.4</v>
      </c>
      <c r="H611" s="2">
        <v>0.512</v>
      </c>
      <c r="I611" s="1">
        <v>2.31</v>
      </c>
      <c r="J611" s="1">
        <f>IF(AND(ISNUMBER(F611),ISNUMBER(H611)),ROUND(F611*(1+H611),2),"")</f>
        <v>2.49</v>
      </c>
      <c r="K611" s="2">
        <f>IF(AND(ISNUMBER(I611),I611&gt;0,ISNUMBER(J611)),J611/I611-1,"")</f>
        <v>0.07792207792207795</v>
      </c>
      <c r="L611" t="s">
        <v>38</v>
      </c>
      <c r="N611" s="1" t="s">
        <f>IF(AND(ISNUMBER(U611),U611&gt;0,ISNUMBER(J611)),ROUND(J611/U611,2),"")</f>
        <v>39</v>
      </c>
      <c r="Q611" t="s">
        <v>40</v>
      </c>
      <c r="R611" t="s">
        <v>39</v>
      </c>
      <c r="S611">
        <v>526888</v>
      </c>
      <c r="T611">
        <v>526888</v>
      </c>
      <c r="X611" t="s">
        <v>41</v>
      </c>
      <c r="Z611" s="1">
        <v>2.31</v>
      </c>
      <c r="AA611" s="1">
        <f>IF(AND(ISNUMBER(Z611),ISNUMBER(I611),I611&gt;0,ISNUMBER(J611)),ROUND(Z611*J611/I611,2),"")</f>
        <v>2.49</v>
      </c>
      <c r="AB611" t="s">
        <v>42</v>
      </c>
      <c r="AC611" t="s">
        <v>43</v>
      </c>
      <c r="AD611" t="s">
        <v>48</v>
      </c>
      <c r="AE611" t="s">
        <v>45</v>
      </c>
    </row>
    <row r="612">
      <c r="A612">
        <v>805875</v>
      </c>
      <c r="B612">
        <v>805875</v>
      </c>
      <c r="C612" t="s">
        <v>997</v>
      </c>
      <c r="D612" t="s">
        <v>984</v>
      </c>
      <c r="E612" t="s">
        <v>100</v>
      </c>
      <c r="F612" s="1">
        <v>3.95</v>
      </c>
      <c r="G612" s="2">
        <v>0.4</v>
      </c>
      <c r="H612" s="2">
        <v>0.512</v>
      </c>
      <c r="I612" s="1">
        <v>5.53</v>
      </c>
      <c r="J612" s="1">
        <f>IF(AND(ISNUMBER(F612),ISNUMBER(H612)),ROUND(F612*(1+H612),2),"")</f>
        <v>5.97</v>
      </c>
      <c r="K612" s="2">
        <f>IF(AND(ISNUMBER(I612),I612&gt;0,ISNUMBER(J612)),J612/I612-1,"")</f>
        <v>0.07956600361663635</v>
      </c>
      <c r="L612" t="s">
        <v>38</v>
      </c>
      <c r="M612" s="1">
        <v>5.53</v>
      </c>
      <c r="N612" s="1">
        <f>IF(AND(ISNUMBER(U612),U612&gt;0,ISNUMBER(J612)),ROUND(J612/U612,2),"")</f>
        <v>5.97</v>
      </c>
      <c r="Q612" t="s">
        <v>40</v>
      </c>
      <c r="R612" t="s">
        <v>39</v>
      </c>
      <c r="S612">
        <v>526933</v>
      </c>
      <c r="T612">
        <v>526933</v>
      </c>
      <c r="U612" s="3">
        <v>1</v>
      </c>
      <c r="X612" t="s">
        <v>41</v>
      </c>
      <c r="Z612" s="1">
        <v>5.53</v>
      </c>
      <c r="AA612" s="1">
        <f>IF(AND(ISNUMBER(Z612),ISNUMBER(I612),I612&gt;0,ISNUMBER(J612)),ROUND(Z612*J612/I612,2),"")</f>
        <v>5.97</v>
      </c>
      <c r="AB612" t="s">
        <v>42</v>
      </c>
      <c r="AC612" t="s">
        <v>43</v>
      </c>
      <c r="AD612" t="s">
        <v>44</v>
      </c>
      <c r="AE612" t="s">
        <v>45</v>
      </c>
    </row>
    <row r="613">
      <c r="A613">
        <v>926707</v>
      </c>
      <c r="B613">
        <v>926707</v>
      </c>
      <c r="C613" t="s">
        <v>998</v>
      </c>
      <c r="D613" t="s">
        <v>984</v>
      </c>
      <c r="E613" t="s">
        <v>638</v>
      </c>
      <c r="F613" s="1">
        <v>3.85</v>
      </c>
      <c r="G613" s="2">
        <v>0.4</v>
      </c>
      <c r="H613" s="2">
        <v>0.512</v>
      </c>
      <c r="I613" s="1">
        <v>5.39</v>
      </c>
      <c r="J613" s="1">
        <f>IF(AND(ISNUMBER(F613),ISNUMBER(H613)),ROUND(F613*(1+H613),2),"")</f>
        <v>5.82</v>
      </c>
      <c r="K613" s="2">
        <f>IF(AND(ISNUMBER(I613),I613&gt;0,ISNUMBER(J613)),J613/I613-1,"")</f>
        <v>0.07977736549165138</v>
      </c>
      <c r="L613" t="s">
        <v>38</v>
      </c>
      <c r="M613" s="1">
        <v>5.39</v>
      </c>
      <c r="N613" s="1">
        <f>IF(AND(ISNUMBER(U613),U613&gt;0,ISNUMBER(J613)),ROUND(J613/U613,2),"")</f>
        <v>5.82</v>
      </c>
      <c r="Q613" t="s">
        <v>40</v>
      </c>
      <c r="R613" t="s">
        <v>39</v>
      </c>
      <c r="S613">
        <v>674541</v>
      </c>
      <c r="T613">
        <v>674541</v>
      </c>
      <c r="U613" s="3">
        <v>1</v>
      </c>
      <c r="X613" t="s">
        <v>41</v>
      </c>
      <c r="Z613" s="1">
        <v>5.39</v>
      </c>
      <c r="AA613" s="1">
        <f>IF(AND(ISNUMBER(Z613),ISNUMBER(I613),I613&gt;0,ISNUMBER(J613)),ROUND(Z613*J613/I613,2),"")</f>
        <v>5.82</v>
      </c>
      <c r="AB613" t="s">
        <v>42</v>
      </c>
      <c r="AC613" t="s">
        <v>43</v>
      </c>
      <c r="AD613" t="s">
        <v>48</v>
      </c>
      <c r="AE613" t="s">
        <v>45</v>
      </c>
    </row>
    <row r="614">
      <c r="A614">
        <v>1133719</v>
      </c>
      <c r="B614">
        <v>1133719</v>
      </c>
      <c r="C614" t="s">
        <v>999</v>
      </c>
      <c r="D614" t="s">
        <v>984</v>
      </c>
      <c r="E614" t="s">
        <v>96</v>
      </c>
      <c r="F614" s="1">
        <v>2.99</v>
      </c>
      <c r="G614" s="2">
        <v>0.4</v>
      </c>
      <c r="H614" s="2">
        <v>0.512</v>
      </c>
      <c r="I614" s="1">
        <v>4.19</v>
      </c>
      <c r="J614" s="1">
        <f>IF(AND(ISNUMBER(F614),ISNUMBER(H614)),ROUND(F614*(1+H614),2),"")</f>
        <v>4.52</v>
      </c>
      <c r="K614" s="2">
        <f>IF(AND(ISNUMBER(I614),I614&gt;0,ISNUMBER(J614)),J614/I614-1,"")</f>
        <v>0.078758949880668</v>
      </c>
      <c r="L614" t="s">
        <v>38</v>
      </c>
      <c r="N614" s="1" t="s">
        <f>IF(AND(ISNUMBER(U614),U614&gt;0,ISNUMBER(J614)),ROUND(J614/U614,2),"")</f>
        <v>39</v>
      </c>
      <c r="Q614" t="s">
        <v>40</v>
      </c>
      <c r="R614" t="s">
        <v>39</v>
      </c>
      <c r="S614">
        <v>969098</v>
      </c>
      <c r="T614">
        <v>969098</v>
      </c>
      <c r="X614" t="s">
        <v>41</v>
      </c>
      <c r="Z614" s="1">
        <v>4.19</v>
      </c>
      <c r="AA614" s="1">
        <f>IF(AND(ISNUMBER(Z614),ISNUMBER(I614),I614&gt;0,ISNUMBER(J614)),ROUND(Z614*J614/I614,2),"")</f>
        <v>4.52</v>
      </c>
      <c r="AB614" t="s">
        <v>42</v>
      </c>
      <c r="AC614" t="s">
        <v>43</v>
      </c>
      <c r="AD614" t="s">
        <v>48</v>
      </c>
      <c r="AE614" t="s">
        <v>45</v>
      </c>
    </row>
    <row r="615">
      <c r="A615">
        <v>1117018</v>
      </c>
      <c r="B615">
        <v>1117018</v>
      </c>
      <c r="C615" t="s">
        <v>741</v>
      </c>
      <c r="D615" t="s">
        <v>984</v>
      </c>
      <c r="E615" t="s">
        <v>96</v>
      </c>
      <c r="F615" s="1">
        <v>5.3</v>
      </c>
      <c r="G615" s="2">
        <v>0.4</v>
      </c>
      <c r="H615" s="2">
        <v>0.512</v>
      </c>
      <c r="I615" s="1">
        <v>7.42</v>
      </c>
      <c r="J615" s="1">
        <f>IF(AND(ISNUMBER(F615),ISNUMBER(H615)),ROUND(F615*(1+H615),2),"")</f>
        <v>8.01</v>
      </c>
      <c r="K615" s="2">
        <f>IF(AND(ISNUMBER(I615),I615&gt;0,ISNUMBER(J615)),J615/I615-1,"")</f>
        <v>0.07951482479784366</v>
      </c>
      <c r="L615" t="s">
        <v>38</v>
      </c>
      <c r="N615" s="1" t="s">
        <f>IF(AND(ISNUMBER(U615),U615&gt;0,ISNUMBER(J615)),ROUND(J615/U615,2),"")</f>
        <v>39</v>
      </c>
      <c r="Q615" t="s">
        <v>40</v>
      </c>
      <c r="R615" t="s">
        <v>39</v>
      </c>
      <c r="S615">
        <v>943643</v>
      </c>
      <c r="T615">
        <v>943643</v>
      </c>
      <c r="X615" t="s">
        <v>41</v>
      </c>
      <c r="Z615" s="1">
        <v>7.42</v>
      </c>
      <c r="AA615" s="1">
        <f>IF(AND(ISNUMBER(Z615),ISNUMBER(I615),I615&gt;0,ISNUMBER(J615)),ROUND(Z615*J615/I615,2),"")</f>
        <v>8.01</v>
      </c>
      <c r="AB615" t="s">
        <v>42</v>
      </c>
      <c r="AC615" t="s">
        <v>43</v>
      </c>
      <c r="AD615" t="s">
        <v>48</v>
      </c>
      <c r="AE615" t="s">
        <v>45</v>
      </c>
    </row>
    <row r="616">
      <c r="A616">
        <v>1058709</v>
      </c>
      <c r="B616">
        <v>1058709</v>
      </c>
      <c r="C616" t="s">
        <v>1000</v>
      </c>
      <c r="D616" t="s">
        <v>984</v>
      </c>
      <c r="E616" t="s">
        <v>63</v>
      </c>
      <c r="F616" s="1">
        <v>0.9</v>
      </c>
      <c r="G616" s="2">
        <v>0.5</v>
      </c>
      <c r="H616" s="2">
        <v>0.62</v>
      </c>
      <c r="I616" s="1">
        <v>1.35</v>
      </c>
      <c r="J616" s="1">
        <f>IF(AND(ISNUMBER(F616),ISNUMBER(H616)),ROUND(F616*(1+H616),2),"")</f>
        <v>1.46</v>
      </c>
      <c r="K616" s="2">
        <f>IF(AND(ISNUMBER(I616),I616&gt;0,ISNUMBER(J616)),J616/I616-1,"")</f>
        <v>0.08148148148148149</v>
      </c>
      <c r="L616" t="s">
        <v>38</v>
      </c>
      <c r="N616" s="1" t="s">
        <f>IF(AND(ISNUMBER(U616),U616&gt;0,ISNUMBER(J616)),ROUND(J616/U616,2),"")</f>
        <v>39</v>
      </c>
      <c r="Q616" t="s">
        <v>40</v>
      </c>
      <c r="R616" t="s">
        <v>39</v>
      </c>
      <c r="S616">
        <v>864990</v>
      </c>
      <c r="T616">
        <v>864990</v>
      </c>
      <c r="X616" t="s">
        <v>41</v>
      </c>
      <c r="Z616" s="1">
        <v>1.35</v>
      </c>
      <c r="AA616" s="1">
        <f>IF(AND(ISNUMBER(Z616),ISNUMBER(I616),I616&gt;0,ISNUMBER(J616)),ROUND(Z616*J616/I616,2),"")</f>
        <v>1.46</v>
      </c>
      <c r="AB616" t="s">
        <v>42</v>
      </c>
      <c r="AC616" t="s">
        <v>1001</v>
      </c>
      <c r="AD616" t="s">
        <v>48</v>
      </c>
      <c r="AE616" t="s">
        <v>45</v>
      </c>
    </row>
    <row r="617">
      <c r="A617">
        <v>944271</v>
      </c>
      <c r="B617">
        <v>944271</v>
      </c>
      <c r="C617" t="s">
        <v>1002</v>
      </c>
      <c r="D617" t="s">
        <v>984</v>
      </c>
      <c r="E617" t="s">
        <v>63</v>
      </c>
      <c r="F617" s="1">
        <v>0.5</v>
      </c>
      <c r="G617" s="2">
        <v>0.4</v>
      </c>
      <c r="H617" s="2">
        <v>0.512</v>
      </c>
      <c r="I617" s="1">
        <v>0.7</v>
      </c>
      <c r="J617" s="1">
        <f>IF(AND(ISNUMBER(F617),ISNUMBER(H617)),ROUND(F617*(1+H617),2),"")</f>
        <v>0.76</v>
      </c>
      <c r="K617" s="2">
        <f>IF(AND(ISNUMBER(I617),I617&gt;0,ISNUMBER(J617)),J617/I617-1,"")</f>
        <v>0.08571428571428585</v>
      </c>
      <c r="L617" t="s">
        <v>38</v>
      </c>
      <c r="N617" s="1" t="s">
        <f>IF(AND(ISNUMBER(U617),U617&gt;0,ISNUMBER(J617)),ROUND(J617/U617,2),"")</f>
        <v>39</v>
      </c>
      <c r="Q617" t="s">
        <v>40</v>
      </c>
      <c r="R617" t="s">
        <v>39</v>
      </c>
      <c r="S617">
        <v>699021</v>
      </c>
      <c r="T617">
        <v>699021</v>
      </c>
      <c r="X617" t="s">
        <v>41</v>
      </c>
      <c r="Z617" s="1">
        <v>0.7</v>
      </c>
      <c r="AA617" s="1">
        <f>IF(AND(ISNUMBER(Z617),ISNUMBER(I617),I617&gt;0,ISNUMBER(J617)),ROUND(Z617*J617/I617,2),"")</f>
        <v>0.76</v>
      </c>
      <c r="AB617" t="s">
        <v>42</v>
      </c>
      <c r="AC617" t="s">
        <v>43</v>
      </c>
      <c r="AD617" t="s">
        <v>48</v>
      </c>
      <c r="AE617" t="s">
        <v>45</v>
      </c>
    </row>
    <row r="618">
      <c r="A618">
        <v>928530</v>
      </c>
      <c r="B618">
        <v>928530</v>
      </c>
      <c r="C618" t="s">
        <v>904</v>
      </c>
      <c r="D618" t="s">
        <v>984</v>
      </c>
      <c r="E618" t="s">
        <v>92</v>
      </c>
      <c r="F618" s="1">
        <v>1.6</v>
      </c>
      <c r="G618" s="2">
        <v>0.4</v>
      </c>
      <c r="H618" s="2">
        <v>0.512</v>
      </c>
      <c r="I618" s="1">
        <v>2.24</v>
      </c>
      <c r="J618" s="1">
        <f>IF(AND(ISNUMBER(F618),ISNUMBER(H618)),ROUND(F618*(1+H618),2),"")</f>
        <v>2.42</v>
      </c>
      <c r="K618" s="2">
        <f>IF(AND(ISNUMBER(I618),I618&gt;0,ISNUMBER(J618)),J618/I618-1,"")</f>
        <v>0.0803571428571428</v>
      </c>
      <c r="L618" t="s">
        <v>38</v>
      </c>
      <c r="M618" s="1">
        <v>2.24</v>
      </c>
      <c r="N618" s="1">
        <f>IF(AND(ISNUMBER(U618),U618&gt;0,ISNUMBER(J618)),ROUND(J618/U618,2),"")</f>
        <v>2.42</v>
      </c>
      <c r="Q618" t="s">
        <v>40</v>
      </c>
      <c r="R618" t="s">
        <v>39</v>
      </c>
      <c r="S618">
        <v>676674</v>
      </c>
      <c r="T618">
        <v>676674</v>
      </c>
      <c r="U618" s="3">
        <v>1</v>
      </c>
      <c r="X618" t="s">
        <v>41</v>
      </c>
      <c r="Z618" s="1">
        <v>2.24</v>
      </c>
      <c r="AA618" s="1">
        <f>IF(AND(ISNUMBER(Z618),ISNUMBER(I618),I618&gt;0,ISNUMBER(J618)),ROUND(Z618*J618/I618,2),"")</f>
        <v>2.42</v>
      </c>
      <c r="AB618" t="s">
        <v>42</v>
      </c>
      <c r="AC618" t="s">
        <v>43</v>
      </c>
      <c r="AD618" t="s">
        <v>48</v>
      </c>
      <c r="AE618" t="s">
        <v>45</v>
      </c>
    </row>
    <row r="619">
      <c r="A619">
        <v>987076</v>
      </c>
      <c r="B619">
        <v>987076</v>
      </c>
      <c r="C619" t="s">
        <v>1003</v>
      </c>
      <c r="D619" t="s">
        <v>984</v>
      </c>
      <c r="E619" t="s">
        <v>943</v>
      </c>
      <c r="F619" s="1">
        <v>4.32</v>
      </c>
      <c r="G619" s="2">
        <v>0.4</v>
      </c>
      <c r="H619" s="2">
        <v>0.512</v>
      </c>
      <c r="I619" s="1">
        <v>6.05</v>
      </c>
      <c r="J619" s="1">
        <f>IF(AND(ISNUMBER(F619),ISNUMBER(H619)),ROUND(F619*(1+H619),2),"")</f>
        <v>6.53</v>
      </c>
      <c r="K619" s="2">
        <f>IF(AND(ISNUMBER(I619),I619&gt;0,ISNUMBER(J619)),J619/I619-1,"")</f>
        <v>0.07933884297520666</v>
      </c>
      <c r="L619" t="s">
        <v>38</v>
      </c>
      <c r="N619" s="1" t="s">
        <f>IF(AND(ISNUMBER(U619),U619&gt;0,ISNUMBER(J619)),ROUND(J619/U619,2),"")</f>
        <v>39</v>
      </c>
      <c r="Q619" t="s">
        <v>40</v>
      </c>
      <c r="R619" t="s">
        <v>39</v>
      </c>
      <c r="S619">
        <v>757754</v>
      </c>
      <c r="T619">
        <v>757754</v>
      </c>
      <c r="X619" t="s">
        <v>41</v>
      </c>
      <c r="Z619" s="1">
        <v>6.05</v>
      </c>
      <c r="AA619" s="1">
        <f>IF(AND(ISNUMBER(Z619),ISNUMBER(I619),I619&gt;0,ISNUMBER(J619)),ROUND(Z619*J619/I619,2),"")</f>
        <v>6.53</v>
      </c>
      <c r="AB619" t="s">
        <v>42</v>
      </c>
      <c r="AC619" t="s">
        <v>43</v>
      </c>
      <c r="AD619" t="s">
        <v>48</v>
      </c>
      <c r="AE619" t="s">
        <v>45</v>
      </c>
    </row>
    <row r="620">
      <c r="A620">
        <v>899377</v>
      </c>
      <c r="B620">
        <v>899377</v>
      </c>
      <c r="C620" t="s">
        <v>1004</v>
      </c>
      <c r="D620" t="s">
        <v>984</v>
      </c>
      <c r="E620" t="s">
        <v>63</v>
      </c>
      <c r="F620" s="1">
        <v>0.9</v>
      </c>
      <c r="G620" s="2">
        <v>0.5</v>
      </c>
      <c r="H620" s="2">
        <v>0.62</v>
      </c>
      <c r="I620" s="1">
        <v>1.35</v>
      </c>
      <c r="J620" s="1">
        <f>IF(AND(ISNUMBER(F620),ISNUMBER(H620)),ROUND(F620*(1+H620),2),"")</f>
        <v>1.46</v>
      </c>
      <c r="K620" s="2">
        <f>IF(AND(ISNUMBER(I620),I620&gt;0,ISNUMBER(J620)),J620/I620-1,"")</f>
        <v>0.08148148148148149</v>
      </c>
      <c r="L620" t="s">
        <v>38</v>
      </c>
      <c r="N620" s="1" t="s">
        <f>IF(AND(ISNUMBER(U620),U620&gt;0,ISNUMBER(J620)),ROUND(J620/U620,2),"")</f>
        <v>39</v>
      </c>
      <c r="Q620" t="s">
        <v>40</v>
      </c>
      <c r="R620" t="s">
        <v>39</v>
      </c>
      <c r="S620">
        <v>641182</v>
      </c>
      <c r="T620">
        <v>641182</v>
      </c>
      <c r="X620" t="s">
        <v>41</v>
      </c>
      <c r="Z620" s="1">
        <v>1.35</v>
      </c>
      <c r="AA620" s="1">
        <f>IF(AND(ISNUMBER(Z620),ISNUMBER(I620),I620&gt;0,ISNUMBER(J620)),ROUND(Z620*J620/I620,2),"")</f>
        <v>1.46</v>
      </c>
      <c r="AB620" t="s">
        <v>42</v>
      </c>
      <c r="AC620" t="s">
        <v>1001</v>
      </c>
      <c r="AD620" t="s">
        <v>48</v>
      </c>
      <c r="AE620" t="s">
        <v>45</v>
      </c>
    </row>
    <row r="621">
      <c r="A621">
        <v>983715</v>
      </c>
      <c r="B621">
        <v>983715</v>
      </c>
      <c r="C621" t="s">
        <v>119</v>
      </c>
      <c r="D621" t="s">
        <v>984</v>
      </c>
      <c r="E621" t="s">
        <v>100</v>
      </c>
      <c r="F621" s="1">
        <v>7.25</v>
      </c>
      <c r="G621" s="2">
        <v>0.4</v>
      </c>
      <c r="H621" s="2">
        <v>0.512</v>
      </c>
      <c r="I621" s="1">
        <v>10.15</v>
      </c>
      <c r="J621" s="1">
        <f>IF(AND(ISNUMBER(F621),ISNUMBER(H621)),ROUND(F621*(1+H621),2),"")</f>
        <v>10.96</v>
      </c>
      <c r="K621" s="2">
        <f>IF(AND(ISNUMBER(I621),I621&gt;0,ISNUMBER(J621)),J621/I621-1,"")</f>
        <v>0.0798029556650246</v>
      </c>
      <c r="L621" t="s">
        <v>38</v>
      </c>
      <c r="M621" s="1">
        <v>10.15</v>
      </c>
      <c r="N621" s="1">
        <f>IF(AND(ISNUMBER(U621),U621&gt;0,ISNUMBER(J621)),ROUND(J621/U621,2),"")</f>
        <v>10.96</v>
      </c>
      <c r="Q621" t="s">
        <v>40</v>
      </c>
      <c r="R621" t="s">
        <v>39</v>
      </c>
      <c r="S621">
        <v>752788</v>
      </c>
      <c r="T621">
        <v>752788</v>
      </c>
      <c r="U621" s="3">
        <v>1</v>
      </c>
      <c r="X621" t="s">
        <v>41</v>
      </c>
      <c r="Z621" s="1">
        <v>10.15</v>
      </c>
      <c r="AA621" s="1">
        <f>IF(AND(ISNUMBER(Z621),ISNUMBER(I621),I621&gt;0,ISNUMBER(J621)),ROUND(Z621*J621/I621,2),"")</f>
        <v>10.96</v>
      </c>
      <c r="AB621" t="s">
        <v>42</v>
      </c>
      <c r="AC621" t="s">
        <v>43</v>
      </c>
      <c r="AD621" t="s">
        <v>48</v>
      </c>
      <c r="AE621" t="s">
        <v>45</v>
      </c>
    </row>
    <row r="622">
      <c r="A622">
        <v>983715</v>
      </c>
      <c r="B622">
        <v>983715</v>
      </c>
      <c r="C622" t="s">
        <v>119</v>
      </c>
      <c r="D622" t="s">
        <v>984</v>
      </c>
      <c r="E622" t="s">
        <v>153</v>
      </c>
      <c r="F622" s="1">
        <v>3.63</v>
      </c>
      <c r="G622" s="2">
        <v>0.4</v>
      </c>
      <c r="H622" s="2">
        <v>0.512</v>
      </c>
      <c r="I622" s="1">
        <v>5.08</v>
      </c>
      <c r="J622" s="1">
        <f>IF(AND(ISNUMBER(F622),ISNUMBER(H622)),ROUND(F622*(1+H622),2),"")</f>
        <v>5.49</v>
      </c>
      <c r="K622" s="2">
        <f>IF(AND(ISNUMBER(I622),I622&gt;0,ISNUMBER(J622)),J622/I622-1,"")</f>
        <v>0.08070866141732291</v>
      </c>
      <c r="L622" t="s">
        <v>38</v>
      </c>
      <c r="M622" s="1">
        <v>10.16</v>
      </c>
      <c r="N622" s="1">
        <f>IF(AND(ISNUMBER(U622),U622&gt;0,ISNUMBER(J622)),ROUND(J622/U622,2),"")</f>
        <v>10.98</v>
      </c>
      <c r="Q622" t="s">
        <v>40</v>
      </c>
      <c r="R622" t="s">
        <v>39</v>
      </c>
      <c r="S622">
        <v>919343</v>
      </c>
      <c r="T622">
        <v>919343</v>
      </c>
      <c r="U622" s="3">
        <v>0.5</v>
      </c>
      <c r="X622" t="s">
        <v>41</v>
      </c>
      <c r="Z622" s="1">
        <v>5.08</v>
      </c>
      <c r="AA622" s="1">
        <f>IF(AND(ISNUMBER(Z622),ISNUMBER(I622),I622&gt;0,ISNUMBER(J622)),ROUND(Z622*J622/I622,2),"")</f>
        <v>5.49</v>
      </c>
      <c r="AB622" t="s">
        <v>42</v>
      </c>
      <c r="AC622" t="s">
        <v>43</v>
      </c>
      <c r="AD622" t="s">
        <v>48</v>
      </c>
      <c r="AE622" t="s">
        <v>45</v>
      </c>
    </row>
    <row r="623">
      <c r="A623">
        <v>899379</v>
      </c>
      <c r="B623">
        <v>899379</v>
      </c>
      <c r="C623" t="s">
        <v>1005</v>
      </c>
      <c r="D623" t="s">
        <v>984</v>
      </c>
      <c r="E623" t="s">
        <v>63</v>
      </c>
      <c r="F623" s="1">
        <v>1.75</v>
      </c>
      <c r="G623" s="2">
        <v>0.5</v>
      </c>
      <c r="H623" s="2">
        <v>0.62</v>
      </c>
      <c r="I623" s="1">
        <v>2.63</v>
      </c>
      <c r="J623" s="1">
        <f>IF(AND(ISNUMBER(F623),ISNUMBER(H623)),ROUND(F623*(1+H623),2),"")</f>
        <v>2.83</v>
      </c>
      <c r="K623" s="2">
        <f>IF(AND(ISNUMBER(I623),I623&gt;0,ISNUMBER(J623)),J623/I623-1,"")</f>
        <v>0.07604562737642584</v>
      </c>
      <c r="L623" t="s">
        <v>38</v>
      </c>
      <c r="N623" s="1" t="s">
        <f>IF(AND(ISNUMBER(U623),U623&gt;0,ISNUMBER(J623)),ROUND(J623/U623,2),"")</f>
        <v>39</v>
      </c>
      <c r="Q623" t="s">
        <v>40</v>
      </c>
      <c r="R623" t="s">
        <v>39</v>
      </c>
      <c r="S623">
        <v>641205</v>
      </c>
      <c r="T623">
        <v>641205</v>
      </c>
      <c r="X623" t="s">
        <v>41</v>
      </c>
      <c r="Z623" s="1">
        <v>2.63</v>
      </c>
      <c r="AA623" s="1">
        <f>IF(AND(ISNUMBER(Z623),ISNUMBER(I623),I623&gt;0,ISNUMBER(J623)),ROUND(Z623*J623/I623,2),"")</f>
        <v>2.83</v>
      </c>
      <c r="AB623" t="s">
        <v>42</v>
      </c>
      <c r="AC623" t="s">
        <v>1006</v>
      </c>
      <c r="AD623" t="s">
        <v>48</v>
      </c>
      <c r="AE623" t="s">
        <v>45</v>
      </c>
    </row>
    <row r="624">
      <c r="A624">
        <v>862903</v>
      </c>
      <c r="B624">
        <v>862903</v>
      </c>
      <c r="C624" t="s">
        <v>1007</v>
      </c>
      <c r="D624" t="s">
        <v>984</v>
      </c>
      <c r="E624" t="s">
        <v>98</v>
      </c>
      <c r="F624" s="1">
        <v>2.3</v>
      </c>
      <c r="G624" s="2">
        <v>0.4</v>
      </c>
      <c r="H624" s="2">
        <v>0.512</v>
      </c>
      <c r="I624" s="1">
        <v>3.22</v>
      </c>
      <c r="J624" s="1">
        <f>IF(AND(ISNUMBER(F624),ISNUMBER(H624)),ROUND(F624*(1+H624),2),"")</f>
        <v>3.48</v>
      </c>
      <c r="K624" s="2">
        <f>IF(AND(ISNUMBER(I624),I624&gt;0,ISNUMBER(J624)),J624/I624-1,"")</f>
        <v>0.08074534161490665</v>
      </c>
      <c r="L624" t="s">
        <v>38</v>
      </c>
      <c r="N624" s="1" t="s">
        <f>IF(AND(ISNUMBER(U624),U624&gt;0,ISNUMBER(J624)),ROUND(J624/U624,2),"")</f>
        <v>39</v>
      </c>
      <c r="Q624" t="s">
        <v>40</v>
      </c>
      <c r="R624" t="s">
        <v>39</v>
      </c>
      <c r="S624">
        <v>592913</v>
      </c>
      <c r="T624">
        <v>592913</v>
      </c>
      <c r="X624" t="s">
        <v>41</v>
      </c>
      <c r="Z624" s="1">
        <v>3.22</v>
      </c>
      <c r="AA624" s="1">
        <f>IF(AND(ISNUMBER(Z624),ISNUMBER(I624),I624&gt;0,ISNUMBER(J624)),ROUND(Z624*J624/I624,2),"")</f>
        <v>3.48</v>
      </c>
      <c r="AB624" t="s">
        <v>42</v>
      </c>
      <c r="AC624" t="s">
        <v>43</v>
      </c>
      <c r="AD624" t="s">
        <v>48</v>
      </c>
      <c r="AE624" t="s">
        <v>45</v>
      </c>
    </row>
    <row r="625">
      <c r="A625">
        <v>901488</v>
      </c>
      <c r="B625">
        <v>901488</v>
      </c>
      <c r="C625" t="s">
        <v>1008</v>
      </c>
      <c r="D625" t="s">
        <v>984</v>
      </c>
      <c r="E625" t="s">
        <v>92</v>
      </c>
      <c r="F625" s="1">
        <v>4</v>
      </c>
      <c r="G625" s="2">
        <v>0.4</v>
      </c>
      <c r="H625" s="2">
        <v>0.512</v>
      </c>
      <c r="I625" s="1">
        <v>5.6</v>
      </c>
      <c r="J625" s="1">
        <f>IF(AND(ISNUMBER(F625),ISNUMBER(H625)),ROUND(F625*(1+H625),2),"")</f>
        <v>6.05</v>
      </c>
      <c r="K625" s="2">
        <f>IF(AND(ISNUMBER(I625),I625&gt;0,ISNUMBER(J625)),J625/I625-1,"")</f>
        <v>0.0803571428571428</v>
      </c>
      <c r="L625" t="s">
        <v>38</v>
      </c>
      <c r="M625" s="1">
        <v>5.6</v>
      </c>
      <c r="N625" s="1">
        <f>IF(AND(ISNUMBER(U625),U625&gt;0,ISNUMBER(J625)),ROUND(J625/U625,2),"")</f>
        <v>6.05</v>
      </c>
      <c r="Q625" t="s">
        <v>40</v>
      </c>
      <c r="R625" t="s">
        <v>39</v>
      </c>
      <c r="S625">
        <v>643774</v>
      </c>
      <c r="T625">
        <v>643774</v>
      </c>
      <c r="U625" s="3">
        <v>1</v>
      </c>
      <c r="X625" t="s">
        <v>41</v>
      </c>
      <c r="Z625" s="1">
        <v>5.6</v>
      </c>
      <c r="AA625" s="1">
        <f>IF(AND(ISNUMBER(Z625),ISNUMBER(I625),I625&gt;0,ISNUMBER(J625)),ROUND(Z625*J625/I625,2),"")</f>
        <v>6.05</v>
      </c>
      <c r="AB625" t="s">
        <v>42</v>
      </c>
      <c r="AC625" t="s">
        <v>134</v>
      </c>
      <c r="AD625" t="s">
        <v>48</v>
      </c>
      <c r="AE625" t="s">
        <v>45</v>
      </c>
    </row>
    <row r="626">
      <c r="A626">
        <v>1133722</v>
      </c>
      <c r="B626">
        <v>1133722</v>
      </c>
      <c r="C626" t="s">
        <v>1009</v>
      </c>
      <c r="D626" t="s">
        <v>984</v>
      </c>
      <c r="E626" t="s">
        <v>1010</v>
      </c>
      <c r="F626" s="1">
        <v>5.45</v>
      </c>
      <c r="G626" s="2">
        <v>0.4</v>
      </c>
      <c r="H626" s="2">
        <v>0.512</v>
      </c>
      <c r="I626" s="1">
        <v>7.63</v>
      </c>
      <c r="J626" s="1">
        <f>IF(AND(ISNUMBER(F626),ISNUMBER(H626)),ROUND(F626*(1+H626),2),"")</f>
        <v>8.24</v>
      </c>
      <c r="K626" s="2">
        <f>IF(AND(ISNUMBER(I626),I626&gt;0,ISNUMBER(J626)),J626/I626-1,"")</f>
        <v>0.07994757536041952</v>
      </c>
      <c r="L626" t="s">
        <v>38</v>
      </c>
      <c r="M626" s="1">
        <v>61.04</v>
      </c>
      <c r="N626" s="1">
        <f>IF(AND(ISNUMBER(U626),U626&gt;0,ISNUMBER(J626)),ROUND(J626/U626,2),"")</f>
        <v>65.92</v>
      </c>
      <c r="Q626" t="s">
        <v>40</v>
      </c>
      <c r="R626" t="s">
        <v>39</v>
      </c>
      <c r="S626">
        <v>969101</v>
      </c>
      <c r="T626">
        <v>969101</v>
      </c>
      <c r="U626" s="3">
        <v>0.125</v>
      </c>
      <c r="X626" t="s">
        <v>41</v>
      </c>
      <c r="Z626" s="1">
        <v>7.63</v>
      </c>
      <c r="AA626" s="1">
        <f>IF(AND(ISNUMBER(Z626),ISNUMBER(I626),I626&gt;0,ISNUMBER(J626)),ROUND(Z626*J626/I626,2),"")</f>
        <v>8.24</v>
      </c>
      <c r="AB626" t="s">
        <v>42</v>
      </c>
      <c r="AC626" t="s">
        <v>43</v>
      </c>
      <c r="AD626" t="s">
        <v>48</v>
      </c>
      <c r="AE626" t="s">
        <v>45</v>
      </c>
    </row>
    <row r="627">
      <c r="A627">
        <v>1133723</v>
      </c>
      <c r="B627">
        <v>1133723</v>
      </c>
      <c r="C627" t="s">
        <v>1011</v>
      </c>
      <c r="D627" t="s">
        <v>984</v>
      </c>
      <c r="E627" t="s">
        <v>1010</v>
      </c>
      <c r="F627" s="1">
        <v>5.45</v>
      </c>
      <c r="G627" s="2">
        <v>0.4</v>
      </c>
      <c r="H627" s="2">
        <v>0.512</v>
      </c>
      <c r="I627" s="1">
        <v>7.63</v>
      </c>
      <c r="J627" s="1">
        <f>IF(AND(ISNUMBER(F627),ISNUMBER(H627)),ROUND(F627*(1+H627),2),"")</f>
        <v>8.24</v>
      </c>
      <c r="K627" s="2">
        <f>IF(AND(ISNUMBER(I627),I627&gt;0,ISNUMBER(J627)),J627/I627-1,"")</f>
        <v>0.07994757536041952</v>
      </c>
      <c r="L627" t="s">
        <v>38</v>
      </c>
      <c r="M627" s="1">
        <v>61.04</v>
      </c>
      <c r="N627" s="1">
        <f>IF(AND(ISNUMBER(U627),U627&gt;0,ISNUMBER(J627)),ROUND(J627/U627,2),"")</f>
        <v>65.92</v>
      </c>
      <c r="Q627" t="s">
        <v>40</v>
      </c>
      <c r="R627" t="s">
        <v>39</v>
      </c>
      <c r="S627">
        <v>969102</v>
      </c>
      <c r="T627">
        <v>969102</v>
      </c>
      <c r="U627" s="3">
        <v>0.125</v>
      </c>
      <c r="X627" t="s">
        <v>41</v>
      </c>
      <c r="Z627" s="1">
        <v>7.63</v>
      </c>
      <c r="AA627" s="1">
        <f>IF(AND(ISNUMBER(Z627),ISNUMBER(I627),I627&gt;0,ISNUMBER(J627)),ROUND(Z627*J627/I627,2),"")</f>
        <v>8.24</v>
      </c>
      <c r="AB627" t="s">
        <v>42</v>
      </c>
      <c r="AC627" t="s">
        <v>43</v>
      </c>
      <c r="AD627" t="s">
        <v>48</v>
      </c>
      <c r="AE627" t="s">
        <v>45</v>
      </c>
    </row>
    <row r="628">
      <c r="A628">
        <v>1017922</v>
      </c>
      <c r="B628">
        <v>1017922</v>
      </c>
      <c r="C628" t="s">
        <v>1012</v>
      </c>
      <c r="D628" t="s">
        <v>984</v>
      </c>
      <c r="E628" t="s">
        <v>1013</v>
      </c>
      <c r="F628" s="1">
        <v>2</v>
      </c>
      <c r="G628" s="2">
        <v>0.4</v>
      </c>
      <c r="H628" s="2">
        <v>0.512</v>
      </c>
      <c r="I628" s="1">
        <v>2.8</v>
      </c>
      <c r="J628" s="1">
        <f>IF(AND(ISNUMBER(F628),ISNUMBER(H628)),ROUND(F628*(1+H628),2),"")</f>
        <v>3.02</v>
      </c>
      <c r="K628" s="2">
        <f>IF(AND(ISNUMBER(I628),I628&gt;0,ISNUMBER(J628)),J628/I628-1,"")</f>
        <v>0.07857142857142874</v>
      </c>
      <c r="L628" t="s">
        <v>38</v>
      </c>
      <c r="N628" s="1" t="s">
        <f>IF(AND(ISNUMBER(U628),U628&gt;0,ISNUMBER(J628)),ROUND(J628/U628,2),"")</f>
        <v>39</v>
      </c>
      <c r="Q628" t="s">
        <v>40</v>
      </c>
      <c r="R628" t="s">
        <v>39</v>
      </c>
      <c r="S628">
        <v>803319</v>
      </c>
      <c r="T628">
        <v>803319</v>
      </c>
      <c r="X628" t="s">
        <v>41</v>
      </c>
      <c r="Z628" s="1">
        <v>2.8</v>
      </c>
      <c r="AA628" s="1">
        <f>IF(AND(ISNUMBER(Z628),ISNUMBER(I628),I628&gt;0,ISNUMBER(J628)),ROUND(Z628*J628/I628,2),"")</f>
        <v>3.02</v>
      </c>
      <c r="AB628" t="s">
        <v>42</v>
      </c>
      <c r="AC628" t="s">
        <v>43</v>
      </c>
      <c r="AD628" t="s">
        <v>48</v>
      </c>
      <c r="AE628" t="s">
        <v>45</v>
      </c>
    </row>
    <row r="629">
      <c r="A629">
        <v>859074</v>
      </c>
      <c r="B629">
        <v>859074</v>
      </c>
      <c r="C629" t="s">
        <v>1012</v>
      </c>
      <c r="D629" t="s">
        <v>984</v>
      </c>
      <c r="E629" t="s">
        <v>100</v>
      </c>
      <c r="F629" s="1">
        <v>2</v>
      </c>
      <c r="G629" s="2">
        <v>0.4</v>
      </c>
      <c r="H629" s="2">
        <v>0.512</v>
      </c>
      <c r="I629" s="1">
        <v>2.8</v>
      </c>
      <c r="J629" s="1">
        <f>IF(AND(ISNUMBER(F629),ISNUMBER(H629)),ROUND(F629*(1+H629),2),"")</f>
        <v>3.02</v>
      </c>
      <c r="K629" s="2">
        <f>IF(AND(ISNUMBER(I629),I629&gt;0,ISNUMBER(J629)),J629/I629-1,"")</f>
        <v>0.07857142857142874</v>
      </c>
      <c r="L629" t="s">
        <v>38</v>
      </c>
      <c r="M629" s="1">
        <v>2.8</v>
      </c>
      <c r="N629" s="1">
        <f>IF(AND(ISNUMBER(U629),U629&gt;0,ISNUMBER(J629)),ROUND(J629/U629,2),"")</f>
        <v>3.02</v>
      </c>
      <c r="Q629" t="s">
        <v>40</v>
      </c>
      <c r="R629" t="s">
        <v>39</v>
      </c>
      <c r="S629">
        <v>588665</v>
      </c>
      <c r="T629">
        <v>588665</v>
      </c>
      <c r="U629" s="3">
        <v>1</v>
      </c>
      <c r="X629" t="s">
        <v>41</v>
      </c>
      <c r="Z629" s="1">
        <v>2.8</v>
      </c>
      <c r="AA629" s="1">
        <f>IF(AND(ISNUMBER(Z629),ISNUMBER(I629),I629&gt;0,ISNUMBER(J629)),ROUND(Z629*J629/I629,2),"")</f>
        <v>3.02</v>
      </c>
      <c r="AB629" t="s">
        <v>42</v>
      </c>
      <c r="AC629" t="s">
        <v>43</v>
      </c>
      <c r="AD629" t="s">
        <v>48</v>
      </c>
      <c r="AE629" t="s">
        <v>45</v>
      </c>
    </row>
    <row r="630">
      <c r="A630">
        <v>805890</v>
      </c>
      <c r="B630">
        <v>805890</v>
      </c>
      <c r="C630" t="s">
        <v>1014</v>
      </c>
      <c r="D630" t="s">
        <v>984</v>
      </c>
      <c r="E630" t="s">
        <v>153</v>
      </c>
      <c r="F630" s="1">
        <v>4.95</v>
      </c>
      <c r="G630" s="2">
        <v>0.4</v>
      </c>
      <c r="H630" s="2">
        <v>0.512</v>
      </c>
      <c r="I630" s="1">
        <v>6.93</v>
      </c>
      <c r="J630" s="1">
        <f>IF(AND(ISNUMBER(F630),ISNUMBER(H630)),ROUND(F630*(1+H630),2),"")</f>
        <v>7.48</v>
      </c>
      <c r="K630" s="2">
        <f>IF(AND(ISNUMBER(I630),I630&gt;0,ISNUMBER(J630)),J630/I630-1,"")</f>
        <v>0.07936507936507953</v>
      </c>
      <c r="L630" t="s">
        <v>38</v>
      </c>
      <c r="M630" s="1">
        <v>13.86</v>
      </c>
      <c r="N630" s="1">
        <f>IF(AND(ISNUMBER(U630),U630&gt;0,ISNUMBER(J630)),ROUND(J630/U630,2),"")</f>
        <v>14.96</v>
      </c>
      <c r="Q630" t="s">
        <v>40</v>
      </c>
      <c r="R630" t="s">
        <v>39</v>
      </c>
      <c r="S630">
        <v>526948</v>
      </c>
      <c r="T630">
        <v>526948</v>
      </c>
      <c r="U630" s="3">
        <v>0.5</v>
      </c>
      <c r="X630" t="s">
        <v>41</v>
      </c>
      <c r="Z630" s="1">
        <v>6.93</v>
      </c>
      <c r="AA630" s="1">
        <f>IF(AND(ISNUMBER(Z630),ISNUMBER(I630),I630&gt;0,ISNUMBER(J630)),ROUND(Z630*J630/I630,2),"")</f>
        <v>7.48</v>
      </c>
      <c r="AB630" t="s">
        <v>42</v>
      </c>
      <c r="AC630" t="s">
        <v>43</v>
      </c>
      <c r="AD630" t="s">
        <v>48</v>
      </c>
      <c r="AE630" t="s">
        <v>45</v>
      </c>
    </row>
    <row r="631">
      <c r="A631">
        <v>899390</v>
      </c>
      <c r="B631">
        <v>899390</v>
      </c>
      <c r="C631" t="s">
        <v>1015</v>
      </c>
      <c r="D631" t="s">
        <v>984</v>
      </c>
      <c r="E631" t="s">
        <v>323</v>
      </c>
      <c r="F631" s="1">
        <v>4.59</v>
      </c>
      <c r="G631" s="2">
        <v>0.4</v>
      </c>
      <c r="H631" s="2">
        <v>0.512</v>
      </c>
      <c r="I631" s="1">
        <v>6.43</v>
      </c>
      <c r="J631" s="1">
        <f>IF(AND(ISNUMBER(F631),ISNUMBER(H631)),ROUND(F631*(1+H631),2),"")</f>
        <v>6.94</v>
      </c>
      <c r="K631" s="2">
        <f>IF(AND(ISNUMBER(I631),I631&gt;0,ISNUMBER(J631)),J631/I631-1,"")</f>
        <v>0.07931570762052886</v>
      </c>
      <c r="L631" t="s">
        <v>38</v>
      </c>
      <c r="M631" s="1">
        <v>6.43</v>
      </c>
      <c r="N631" s="1">
        <f>IF(AND(ISNUMBER(U631),U631&gt;0,ISNUMBER(J631)),ROUND(J631/U631,2),"")</f>
        <v>6.94</v>
      </c>
      <c r="Q631" t="s">
        <v>40</v>
      </c>
      <c r="R631" t="s">
        <v>39</v>
      </c>
      <c r="S631">
        <v>641285</v>
      </c>
      <c r="T631">
        <v>641285</v>
      </c>
      <c r="U631" s="3">
        <v>1</v>
      </c>
      <c r="X631" t="s">
        <v>41</v>
      </c>
      <c r="Z631" s="1">
        <v>6.43</v>
      </c>
      <c r="AA631" s="1">
        <f>IF(AND(ISNUMBER(Z631),ISNUMBER(I631),I631&gt;0,ISNUMBER(J631)),ROUND(Z631*J631/I631,2),"")</f>
        <v>6.94</v>
      </c>
      <c r="AB631" t="s">
        <v>42</v>
      </c>
      <c r="AC631" t="s">
        <v>43</v>
      </c>
      <c r="AD631" t="s">
        <v>48</v>
      </c>
      <c r="AE631" t="s">
        <v>45</v>
      </c>
    </row>
    <row r="632">
      <c r="A632">
        <v>812655</v>
      </c>
      <c r="B632">
        <v>812655</v>
      </c>
      <c r="C632" t="s">
        <v>1016</v>
      </c>
      <c r="D632" t="s">
        <v>984</v>
      </c>
      <c r="E632" t="s">
        <v>63</v>
      </c>
      <c r="F632" s="1">
        <v>1</v>
      </c>
      <c r="G632" s="2">
        <v>0.4</v>
      </c>
      <c r="H632" s="2">
        <v>0.512</v>
      </c>
      <c r="I632" s="1">
        <v>1.4</v>
      </c>
      <c r="J632" s="1">
        <f>IF(AND(ISNUMBER(F632),ISNUMBER(H632)),ROUND(F632*(1+H632),2),"")</f>
        <v>1.51</v>
      </c>
      <c r="K632" s="2">
        <f>IF(AND(ISNUMBER(I632),I632&gt;0,ISNUMBER(J632)),J632/I632-1,"")</f>
        <v>0.07857142857142874</v>
      </c>
      <c r="L632" t="s">
        <v>38</v>
      </c>
      <c r="N632" s="1" t="s">
        <f>IF(AND(ISNUMBER(U632),U632&gt;0,ISNUMBER(J632)),ROUND(J632/U632,2),"")</f>
        <v>39</v>
      </c>
      <c r="Q632" t="s">
        <v>40</v>
      </c>
      <c r="R632" t="s">
        <v>39</v>
      </c>
      <c r="S632">
        <v>534523</v>
      </c>
      <c r="T632">
        <v>534523</v>
      </c>
      <c r="X632" t="s">
        <v>41</v>
      </c>
      <c r="Z632" s="1">
        <v>1.4</v>
      </c>
      <c r="AA632" s="1">
        <f>IF(AND(ISNUMBER(Z632),ISNUMBER(I632),I632&gt;0,ISNUMBER(J632)),ROUND(Z632*J632/I632,2),"")</f>
        <v>1.51</v>
      </c>
      <c r="AB632" t="s">
        <v>42</v>
      </c>
      <c r="AC632" t="s">
        <v>43</v>
      </c>
      <c r="AD632" t="s">
        <v>48</v>
      </c>
      <c r="AE632" t="s">
        <v>45</v>
      </c>
    </row>
    <row r="633">
      <c r="A633">
        <v>881653</v>
      </c>
      <c r="B633">
        <v>881653</v>
      </c>
      <c r="C633" t="s">
        <v>1017</v>
      </c>
      <c r="D633" t="s">
        <v>984</v>
      </c>
      <c r="E633" t="s">
        <v>94</v>
      </c>
      <c r="F633" s="1">
        <v>2.53</v>
      </c>
      <c r="G633" s="2">
        <v>0.4</v>
      </c>
      <c r="H633" s="2">
        <v>0.512</v>
      </c>
      <c r="I633" s="1">
        <v>3.54</v>
      </c>
      <c r="J633" s="1">
        <f>IF(AND(ISNUMBER(F633),ISNUMBER(H633)),ROUND(F633*(1+H633),2),"")</f>
        <v>3.83</v>
      </c>
      <c r="K633" s="2">
        <f>IF(AND(ISNUMBER(I633),I633&gt;0,ISNUMBER(J633)),J633/I633-1,"")</f>
        <v>0.08192090395480234</v>
      </c>
      <c r="L633" t="s">
        <v>38</v>
      </c>
      <c r="N633" s="1" t="s">
        <f>IF(AND(ISNUMBER(U633),U633&gt;0,ISNUMBER(J633)),ROUND(J633/U633,2),"")</f>
        <v>39</v>
      </c>
      <c r="Q633" t="s">
        <v>40</v>
      </c>
      <c r="R633" t="s">
        <v>39</v>
      </c>
      <c r="S633">
        <v>618132</v>
      </c>
      <c r="T633">
        <v>618132</v>
      </c>
      <c r="X633" t="s">
        <v>41</v>
      </c>
      <c r="Z633" s="1">
        <v>3.54</v>
      </c>
      <c r="AA633" s="1">
        <f>IF(AND(ISNUMBER(Z633),ISNUMBER(I633),I633&gt;0,ISNUMBER(J633)),ROUND(Z633*J633/I633,2),"")</f>
        <v>3.83</v>
      </c>
      <c r="AB633" t="s">
        <v>42</v>
      </c>
      <c r="AC633" t="s">
        <v>43</v>
      </c>
      <c r="AD633" t="s">
        <v>48</v>
      </c>
      <c r="AE633" t="s">
        <v>45</v>
      </c>
    </row>
    <row r="634">
      <c r="A634">
        <v>899388</v>
      </c>
      <c r="B634">
        <v>899388</v>
      </c>
      <c r="C634" t="s">
        <v>1018</v>
      </c>
      <c r="D634" t="s">
        <v>984</v>
      </c>
      <c r="E634" t="s">
        <v>153</v>
      </c>
      <c r="F634" s="1">
        <v>3.75</v>
      </c>
      <c r="G634" s="2">
        <v>0.4</v>
      </c>
      <c r="H634" s="2">
        <v>0.512</v>
      </c>
      <c r="I634" s="1">
        <v>5.25</v>
      </c>
      <c r="J634" s="1">
        <f>IF(AND(ISNUMBER(F634),ISNUMBER(H634)),ROUND(F634*(1+H634),2),"")</f>
        <v>5.67</v>
      </c>
      <c r="K634" s="2">
        <f>IF(AND(ISNUMBER(I634),I634&gt;0,ISNUMBER(J634)),J634/I634-1,"")</f>
        <v>0.08000000000000007</v>
      </c>
      <c r="L634" t="s">
        <v>38</v>
      </c>
      <c r="M634" s="1">
        <v>10.5</v>
      </c>
      <c r="N634" s="1">
        <f>IF(AND(ISNUMBER(U634),U634&gt;0,ISNUMBER(J634)),ROUND(J634/U634,2),"")</f>
        <v>11.34</v>
      </c>
      <c r="Q634" t="s">
        <v>40</v>
      </c>
      <c r="R634" t="s">
        <v>39</v>
      </c>
      <c r="S634">
        <v>641283</v>
      </c>
      <c r="T634">
        <v>641283</v>
      </c>
      <c r="U634" s="3">
        <v>0.5</v>
      </c>
      <c r="X634" t="s">
        <v>41</v>
      </c>
      <c r="Z634" s="1">
        <v>5.25</v>
      </c>
      <c r="AA634" s="1">
        <f>IF(AND(ISNUMBER(Z634),ISNUMBER(I634),I634&gt;0,ISNUMBER(J634)),ROUND(Z634*J634/I634,2),"")</f>
        <v>5.67</v>
      </c>
      <c r="AB634" t="s">
        <v>42</v>
      </c>
      <c r="AC634" t="s">
        <v>43</v>
      </c>
      <c r="AD634" t="s">
        <v>48</v>
      </c>
      <c r="AE634" t="s">
        <v>45</v>
      </c>
    </row>
    <row r="635">
      <c r="A635">
        <v>805900</v>
      </c>
      <c r="B635">
        <v>805900</v>
      </c>
      <c r="C635" t="s">
        <v>1019</v>
      </c>
      <c r="D635" t="s">
        <v>984</v>
      </c>
      <c r="E635" t="s">
        <v>100</v>
      </c>
      <c r="F635" s="1">
        <v>2.5</v>
      </c>
      <c r="G635" s="2">
        <v>0.4</v>
      </c>
      <c r="H635" s="2">
        <v>0.512</v>
      </c>
      <c r="I635" s="1">
        <v>3.5</v>
      </c>
      <c r="J635" s="1">
        <f>IF(AND(ISNUMBER(F635),ISNUMBER(H635)),ROUND(F635*(1+H635),2),"")</f>
        <v>3.78</v>
      </c>
      <c r="K635" s="2">
        <f>IF(AND(ISNUMBER(I635),I635&gt;0,ISNUMBER(J635)),J635/I635-1,"")</f>
        <v>0.07999999999999985</v>
      </c>
      <c r="L635" t="s">
        <v>38</v>
      </c>
      <c r="M635" s="1">
        <v>3.5</v>
      </c>
      <c r="N635" s="1">
        <f>IF(AND(ISNUMBER(U635),U635&gt;0,ISNUMBER(J635)),ROUND(J635/U635,2),"")</f>
        <v>3.78</v>
      </c>
      <c r="Q635" t="s">
        <v>40</v>
      </c>
      <c r="R635" t="s">
        <v>39</v>
      </c>
      <c r="S635">
        <v>526958</v>
      </c>
      <c r="T635">
        <v>526958</v>
      </c>
      <c r="U635" s="3">
        <v>1</v>
      </c>
      <c r="X635" t="s">
        <v>41</v>
      </c>
      <c r="Z635" s="1">
        <v>3.5</v>
      </c>
      <c r="AA635" s="1">
        <f>IF(AND(ISNUMBER(Z635),ISNUMBER(I635),I635&gt;0,ISNUMBER(J635)),ROUND(Z635*J635/I635,2),"")</f>
        <v>3.78</v>
      </c>
      <c r="AB635" t="s">
        <v>42</v>
      </c>
      <c r="AC635" t="s">
        <v>43</v>
      </c>
      <c r="AD635" t="s">
        <v>48</v>
      </c>
      <c r="AE635" t="s">
        <v>45</v>
      </c>
    </row>
    <row r="636">
      <c r="A636">
        <v>1058760</v>
      </c>
      <c r="B636">
        <v>1058760</v>
      </c>
      <c r="C636" t="s">
        <v>1020</v>
      </c>
      <c r="D636" t="s">
        <v>984</v>
      </c>
      <c r="E636" t="s">
        <v>689</v>
      </c>
      <c r="F636" s="1">
        <v>5.45</v>
      </c>
      <c r="G636" s="2">
        <v>0.4</v>
      </c>
      <c r="H636" s="2">
        <v>0.512</v>
      </c>
      <c r="I636" s="1">
        <v>7.63</v>
      </c>
      <c r="J636" s="1">
        <f>IF(AND(ISNUMBER(F636),ISNUMBER(H636)),ROUND(F636*(1+H636),2),"")</f>
        <v>8.24</v>
      </c>
      <c r="K636" s="2">
        <f>IF(AND(ISNUMBER(I636),I636&gt;0,ISNUMBER(J636)),J636/I636-1,"")</f>
        <v>0.07994757536041952</v>
      </c>
      <c r="L636" t="s">
        <v>38</v>
      </c>
      <c r="M636" s="1">
        <v>48.83</v>
      </c>
      <c r="N636" s="1">
        <f>IF(AND(ISNUMBER(U636),U636&gt;0,ISNUMBER(J636)),ROUND(J636/U636,2),"")</f>
        <v>52.74</v>
      </c>
      <c r="Q636" t="s">
        <v>40</v>
      </c>
      <c r="R636" t="s">
        <v>39</v>
      </c>
      <c r="S636">
        <v>865052</v>
      </c>
      <c r="T636">
        <v>865052</v>
      </c>
      <c r="U636" s="3">
        <v>0.15625</v>
      </c>
      <c r="X636" t="s">
        <v>41</v>
      </c>
      <c r="Z636" s="1">
        <v>7.63</v>
      </c>
      <c r="AA636" s="1">
        <f>IF(AND(ISNUMBER(Z636),ISNUMBER(I636),I636&gt;0,ISNUMBER(J636)),ROUND(Z636*J636/I636,2),"")</f>
        <v>8.24</v>
      </c>
      <c r="AB636" t="s">
        <v>42</v>
      </c>
      <c r="AC636" t="s">
        <v>43</v>
      </c>
      <c r="AD636" t="s">
        <v>48</v>
      </c>
      <c r="AE636" t="s">
        <v>45</v>
      </c>
    </row>
    <row r="637">
      <c r="A637">
        <v>927371</v>
      </c>
      <c r="C637" t="s">
        <v>1021</v>
      </c>
      <c r="D637" t="s">
        <v>984</v>
      </c>
      <c r="E637" t="s">
        <v>63</v>
      </c>
      <c r="J637" s="1" t="s">
        <f>IF(AND(ISNUMBER(F637),ISNUMBER(H637)),ROUND(F637*(1+H637),2),"")</f>
        <v>39</v>
      </c>
      <c r="K637" s="2" t="s">
        <f>IF(AND(ISNUMBER(I637),I637&gt;0,ISNUMBER(J637)),J637/I637-1,"")</f>
        <v>39</v>
      </c>
      <c r="L637" t="s">
        <v>38</v>
      </c>
      <c r="N637" s="1" t="s">
        <f>IF(AND(ISNUMBER(U637),U637&gt;0,ISNUMBER(J637)),ROUND(J637/U637,2),"")</f>
        <v>39</v>
      </c>
      <c r="Q637" t="s">
        <v>166</v>
      </c>
      <c r="R637" t="s">
        <v>39</v>
      </c>
      <c r="S637">
        <v>675358</v>
      </c>
      <c r="X637" t="s">
        <v>41</v>
      </c>
      <c r="AA637" s="1" t="s">
        <f>IF(AND(ISNUMBER(Z637),ISNUMBER(I637),I637&gt;0,ISNUMBER(J637)),ROUND(Z637*J637/I637,2),"")</f>
        <v>39</v>
      </c>
      <c r="AB637" t="s">
        <v>167</v>
      </c>
      <c r="AC637" t="s">
        <v>986</v>
      </c>
      <c r="AD637" t="s">
        <v>48</v>
      </c>
      <c r="AE637" t="s">
        <v>45</v>
      </c>
    </row>
    <row r="638">
      <c r="A638">
        <v>1131456</v>
      </c>
      <c r="B638">
        <v>1131456</v>
      </c>
      <c r="C638" t="s">
        <v>1022</v>
      </c>
      <c r="D638" t="s">
        <v>984</v>
      </c>
      <c r="E638" t="s">
        <v>943</v>
      </c>
      <c r="F638" s="1">
        <v>4.6</v>
      </c>
      <c r="G638" s="2">
        <v>0.4</v>
      </c>
      <c r="H638" s="2">
        <v>0.512</v>
      </c>
      <c r="I638" s="1">
        <v>6.44</v>
      </c>
      <c r="J638" s="1">
        <f>IF(AND(ISNUMBER(F638),ISNUMBER(H638)),ROUND(F638*(1+H638),2),"")</f>
        <v>6.96</v>
      </c>
      <c r="K638" s="2">
        <f>IF(AND(ISNUMBER(I638),I638&gt;0,ISNUMBER(J638)),J638/I638-1,"")</f>
        <v>0.08074534161490665</v>
      </c>
      <c r="L638" t="s">
        <v>38</v>
      </c>
      <c r="N638" s="1" t="s">
        <f>IF(AND(ISNUMBER(U638),U638&gt;0,ISNUMBER(J638)),ROUND(J638/U638,2),"")</f>
        <v>39</v>
      </c>
      <c r="Q638" t="s">
        <v>40</v>
      </c>
      <c r="R638" t="s">
        <v>39</v>
      </c>
      <c r="S638">
        <v>965788</v>
      </c>
      <c r="T638">
        <v>965788</v>
      </c>
      <c r="X638" t="s">
        <v>41</v>
      </c>
      <c r="Z638" s="1">
        <v>6.44</v>
      </c>
      <c r="AA638" s="1">
        <f>IF(AND(ISNUMBER(Z638),ISNUMBER(I638),I638&gt;0,ISNUMBER(J638)),ROUND(Z638*J638/I638,2),"")</f>
        <v>6.96</v>
      </c>
      <c r="AB638" t="s">
        <v>42</v>
      </c>
      <c r="AC638" t="s">
        <v>43</v>
      </c>
      <c r="AD638" t="s">
        <v>48</v>
      </c>
      <c r="AE638" t="s">
        <v>45</v>
      </c>
    </row>
    <row r="639">
      <c r="A639">
        <v>805904</v>
      </c>
      <c r="B639">
        <v>805904</v>
      </c>
      <c r="C639" t="s">
        <v>1023</v>
      </c>
      <c r="D639" t="s">
        <v>984</v>
      </c>
      <c r="E639" t="s">
        <v>96</v>
      </c>
      <c r="F639" s="1">
        <v>7.25</v>
      </c>
      <c r="G639" s="2">
        <v>0.4</v>
      </c>
      <c r="H639" s="2">
        <v>0.512</v>
      </c>
      <c r="I639" s="1">
        <v>10.15</v>
      </c>
      <c r="J639" s="1">
        <f>IF(AND(ISNUMBER(F639),ISNUMBER(H639)),ROUND(F639*(1+H639),2),"")</f>
        <v>10.96</v>
      </c>
      <c r="K639" s="2">
        <f>IF(AND(ISNUMBER(I639),I639&gt;0,ISNUMBER(J639)),J639/I639-1,"")</f>
        <v>0.0798029556650246</v>
      </c>
      <c r="L639" t="s">
        <v>38</v>
      </c>
      <c r="M639" s="1">
        <v>10.15</v>
      </c>
      <c r="N639" s="1">
        <f>IF(AND(ISNUMBER(U639),U639&gt;0,ISNUMBER(J639)),ROUND(J639/U639,2),"")</f>
        <v>10.96</v>
      </c>
      <c r="Q639" t="s">
        <v>40</v>
      </c>
      <c r="R639" t="s">
        <v>39</v>
      </c>
      <c r="S639">
        <v>526962</v>
      </c>
      <c r="T639">
        <v>526962</v>
      </c>
      <c r="U639" s="3">
        <v>1</v>
      </c>
      <c r="X639" t="s">
        <v>41</v>
      </c>
      <c r="Z639" s="1">
        <v>10.15</v>
      </c>
      <c r="AA639" s="1">
        <f>IF(AND(ISNUMBER(Z639),ISNUMBER(I639),I639&gt;0,ISNUMBER(J639)),ROUND(Z639*J639/I639,2),"")</f>
        <v>10.96</v>
      </c>
      <c r="AB639" t="s">
        <v>42</v>
      </c>
      <c r="AC639" t="s">
        <v>43</v>
      </c>
      <c r="AD639" t="s">
        <v>48</v>
      </c>
      <c r="AE639" t="s">
        <v>45</v>
      </c>
    </row>
    <row r="640">
      <c r="A640">
        <v>824480</v>
      </c>
      <c r="B640">
        <v>824480</v>
      </c>
      <c r="C640" t="s">
        <v>1024</v>
      </c>
      <c r="D640" t="s">
        <v>984</v>
      </c>
      <c r="E640" t="s">
        <v>113</v>
      </c>
      <c r="F640" s="1">
        <v>1.04</v>
      </c>
      <c r="G640" s="2">
        <v>0.4</v>
      </c>
      <c r="H640" s="2">
        <v>0.512</v>
      </c>
      <c r="I640" s="1">
        <v>1.46</v>
      </c>
      <c r="J640" s="1">
        <f>IF(AND(ISNUMBER(F640),ISNUMBER(H640)),ROUND(F640*(1+H640),2),"")</f>
        <v>1.57</v>
      </c>
      <c r="K640" s="2">
        <f>IF(AND(ISNUMBER(I640),I640&gt;0,ISNUMBER(J640)),J640/I640-1,"")</f>
        <v>0.07534246575342474</v>
      </c>
      <c r="L640" t="s">
        <v>38</v>
      </c>
      <c r="M640" s="1">
        <v>1.46</v>
      </c>
      <c r="N640" s="1">
        <f>IF(AND(ISNUMBER(U640),U640&gt;0,ISNUMBER(J640)),ROUND(J640/U640,2),"")</f>
        <v>1.57</v>
      </c>
      <c r="Q640" t="s">
        <v>40</v>
      </c>
      <c r="R640" t="s">
        <v>39</v>
      </c>
      <c r="S640">
        <v>548053</v>
      </c>
      <c r="T640">
        <v>548053</v>
      </c>
      <c r="U640" s="3">
        <v>1</v>
      </c>
      <c r="X640" t="s">
        <v>41</v>
      </c>
      <c r="Z640" s="1">
        <v>1.46</v>
      </c>
      <c r="AA640" s="1">
        <f>IF(AND(ISNUMBER(Z640),ISNUMBER(I640),I640&gt;0,ISNUMBER(J640)),ROUND(Z640*J640/I640,2),"")</f>
        <v>1.57</v>
      </c>
      <c r="AB640" t="s">
        <v>42</v>
      </c>
      <c r="AC640" t="s">
        <v>43</v>
      </c>
      <c r="AD640" t="s">
        <v>48</v>
      </c>
      <c r="AE640" t="s">
        <v>45</v>
      </c>
    </row>
    <row r="641">
      <c r="A641">
        <v>1131458</v>
      </c>
      <c r="B641">
        <v>1131458</v>
      </c>
      <c r="C641" t="s">
        <v>1025</v>
      </c>
      <c r="D641" t="s">
        <v>984</v>
      </c>
      <c r="E641" t="s">
        <v>996</v>
      </c>
      <c r="F641" s="1">
        <v>12.85</v>
      </c>
      <c r="G641" s="2">
        <v>0.4</v>
      </c>
      <c r="H641" s="2">
        <v>0.512</v>
      </c>
      <c r="I641" s="1">
        <v>17.99</v>
      </c>
      <c r="J641" s="1">
        <f>IF(AND(ISNUMBER(F641),ISNUMBER(H641)),ROUND(F641*(1+H641),2),"")</f>
        <v>19.43</v>
      </c>
      <c r="K641" s="2">
        <f>IF(AND(ISNUMBER(I641),I641&gt;0,ISNUMBER(J641)),J641/I641-1,"")</f>
        <v>0.08004446914952768</v>
      </c>
      <c r="L641" t="s">
        <v>38</v>
      </c>
      <c r="M641" s="1">
        <v>11.99</v>
      </c>
      <c r="N641" s="1">
        <f>IF(AND(ISNUMBER(U641),U641&gt;0,ISNUMBER(J641)),ROUND(J641/U641,2),"")</f>
        <v>12.95</v>
      </c>
      <c r="Q641" t="s">
        <v>40</v>
      </c>
      <c r="R641" t="s">
        <v>39</v>
      </c>
      <c r="S641">
        <v>965791</v>
      </c>
      <c r="T641">
        <v>965791</v>
      </c>
      <c r="U641" s="3">
        <v>1.5</v>
      </c>
      <c r="X641" t="s">
        <v>41</v>
      </c>
      <c r="Z641" s="1">
        <v>17.99</v>
      </c>
      <c r="AA641" s="1">
        <f>IF(AND(ISNUMBER(Z641),ISNUMBER(I641),I641&gt;0,ISNUMBER(J641)),ROUND(Z641*J641/I641,2),"")</f>
        <v>19.43</v>
      </c>
      <c r="AB641" t="s">
        <v>42</v>
      </c>
      <c r="AC641" t="s">
        <v>43</v>
      </c>
      <c r="AD641" t="s">
        <v>48</v>
      </c>
      <c r="AE641" t="s">
        <v>45</v>
      </c>
    </row>
    <row r="642">
      <c r="A642">
        <v>1003371</v>
      </c>
      <c r="B642">
        <v>1003371</v>
      </c>
      <c r="C642" t="s">
        <v>1026</v>
      </c>
      <c r="D642" t="s">
        <v>984</v>
      </c>
      <c r="E642" t="s">
        <v>63</v>
      </c>
      <c r="F642" s="1">
        <v>1</v>
      </c>
      <c r="G642" s="2">
        <v>0.4</v>
      </c>
      <c r="H642" s="2">
        <v>0.512</v>
      </c>
      <c r="I642" s="1">
        <v>1.4</v>
      </c>
      <c r="J642" s="1">
        <f>IF(AND(ISNUMBER(F642),ISNUMBER(H642)),ROUND(F642*(1+H642),2),"")</f>
        <v>1.51</v>
      </c>
      <c r="K642" s="2">
        <f>IF(AND(ISNUMBER(I642),I642&gt;0,ISNUMBER(J642)),J642/I642-1,"")</f>
        <v>0.07857142857142874</v>
      </c>
      <c r="L642" t="s">
        <v>38</v>
      </c>
      <c r="N642" s="1" t="s">
        <f>IF(AND(ISNUMBER(U642),U642&gt;0,ISNUMBER(J642)),ROUND(J642/U642,2),"")</f>
        <v>39</v>
      </c>
      <c r="Q642" t="s">
        <v>40</v>
      </c>
      <c r="R642" t="s">
        <v>39</v>
      </c>
      <c r="S642">
        <v>782715</v>
      </c>
      <c r="T642">
        <v>782715</v>
      </c>
      <c r="X642" t="s">
        <v>41</v>
      </c>
      <c r="Z642" s="1">
        <v>1.4</v>
      </c>
      <c r="AA642" s="1">
        <f>IF(AND(ISNUMBER(Z642),ISNUMBER(I642),I642&gt;0,ISNUMBER(J642)),ROUND(Z642*J642/I642,2),"")</f>
        <v>1.51</v>
      </c>
      <c r="AB642" t="s">
        <v>42</v>
      </c>
      <c r="AC642" t="s">
        <v>43</v>
      </c>
      <c r="AD642" t="s">
        <v>48</v>
      </c>
      <c r="AE642" t="s">
        <v>45</v>
      </c>
    </row>
    <row r="643">
      <c r="A643">
        <v>1038287</v>
      </c>
      <c r="B643">
        <v>1038287</v>
      </c>
      <c r="C643" t="s">
        <v>142</v>
      </c>
      <c r="D643" t="s">
        <v>984</v>
      </c>
      <c r="E643" t="s">
        <v>100</v>
      </c>
      <c r="F643" s="1">
        <v>1.36</v>
      </c>
      <c r="G643" s="2">
        <v>0.4</v>
      </c>
      <c r="H643" s="2">
        <v>0.512</v>
      </c>
      <c r="I643" s="1">
        <v>1.9</v>
      </c>
      <c r="J643" s="1">
        <f>IF(AND(ISNUMBER(F643),ISNUMBER(H643)),ROUND(F643*(1+H643),2),"")</f>
        <v>2.06</v>
      </c>
      <c r="K643" s="2">
        <f>IF(AND(ISNUMBER(I643),I643&gt;0,ISNUMBER(J643)),J643/I643-1,"")</f>
        <v>0.08421052631578951</v>
      </c>
      <c r="L643" t="s">
        <v>38</v>
      </c>
      <c r="M643" s="1">
        <v>1.9</v>
      </c>
      <c r="N643" s="1">
        <f>IF(AND(ISNUMBER(U643),U643&gt;0,ISNUMBER(J643)),ROUND(J643/U643,2),"")</f>
        <v>2.06</v>
      </c>
      <c r="Q643" t="s">
        <v>40</v>
      </c>
      <c r="R643" t="s">
        <v>39</v>
      </c>
      <c r="S643">
        <v>836559</v>
      </c>
      <c r="T643">
        <v>836559</v>
      </c>
      <c r="U643" s="3">
        <v>1</v>
      </c>
      <c r="X643" t="s">
        <v>41</v>
      </c>
      <c r="Z643" s="1">
        <v>1.9</v>
      </c>
      <c r="AA643" s="1">
        <f>IF(AND(ISNUMBER(Z643),ISNUMBER(I643),I643&gt;0,ISNUMBER(J643)),ROUND(Z643*J643/I643,2),"")</f>
        <v>2.06</v>
      </c>
      <c r="AB643" t="s">
        <v>42</v>
      </c>
      <c r="AC643" t="s">
        <v>43</v>
      </c>
      <c r="AD643" t="s">
        <v>48</v>
      </c>
      <c r="AE643" t="s">
        <v>45</v>
      </c>
    </row>
    <row r="644">
      <c r="A644">
        <v>912736</v>
      </c>
      <c r="B644">
        <v>912736</v>
      </c>
      <c r="C644" t="s">
        <v>1027</v>
      </c>
      <c r="D644" t="s">
        <v>984</v>
      </c>
      <c r="E644" t="s">
        <v>96</v>
      </c>
      <c r="F644" s="1">
        <v>3.95</v>
      </c>
      <c r="G644" s="2">
        <v>0.4</v>
      </c>
      <c r="H644" s="2">
        <v>0.512</v>
      </c>
      <c r="I644" s="1">
        <v>5.53</v>
      </c>
      <c r="J644" s="1">
        <f>IF(AND(ISNUMBER(F644),ISNUMBER(H644)),ROUND(F644*(1+H644),2),"")</f>
        <v>5.97</v>
      </c>
      <c r="K644" s="2">
        <f>IF(AND(ISNUMBER(I644),I644&gt;0,ISNUMBER(J644)),J644/I644-1,"")</f>
        <v>0.07956600361663635</v>
      </c>
      <c r="L644" t="s">
        <v>38</v>
      </c>
      <c r="N644" s="1" t="s">
        <f>IF(AND(ISNUMBER(U644),U644&gt;0,ISNUMBER(J644)),ROUND(J644/U644,2),"")</f>
        <v>39</v>
      </c>
      <c r="Q644" t="s">
        <v>40</v>
      </c>
      <c r="R644" t="s">
        <v>39</v>
      </c>
      <c r="S644">
        <v>658110</v>
      </c>
      <c r="T644">
        <v>658110</v>
      </c>
      <c r="X644" t="s">
        <v>41</v>
      </c>
      <c r="Z644" s="1">
        <v>5.53</v>
      </c>
      <c r="AA644" s="1">
        <f>IF(AND(ISNUMBER(Z644),ISNUMBER(I644),I644&gt;0,ISNUMBER(J644)),ROUND(Z644*J644/I644,2),"")</f>
        <v>5.97</v>
      </c>
      <c r="AB644" t="s">
        <v>42</v>
      </c>
      <c r="AC644" t="s">
        <v>43</v>
      </c>
      <c r="AD644" t="s">
        <v>48</v>
      </c>
      <c r="AE644" t="s">
        <v>45</v>
      </c>
    </row>
    <row r="645">
      <c r="A645">
        <v>987077</v>
      </c>
      <c r="B645">
        <v>987077</v>
      </c>
      <c r="C645" t="s">
        <v>1028</v>
      </c>
      <c r="D645" t="s">
        <v>984</v>
      </c>
      <c r="E645" t="s">
        <v>943</v>
      </c>
      <c r="F645" s="1">
        <v>4.59</v>
      </c>
      <c r="G645" s="2">
        <v>0.4</v>
      </c>
      <c r="H645" s="2">
        <v>0.512</v>
      </c>
      <c r="I645" s="1">
        <v>6.43</v>
      </c>
      <c r="J645" s="1">
        <f>IF(AND(ISNUMBER(F645),ISNUMBER(H645)),ROUND(F645*(1+H645),2),"")</f>
        <v>6.94</v>
      </c>
      <c r="K645" s="2">
        <f>IF(AND(ISNUMBER(I645),I645&gt;0,ISNUMBER(J645)),J645/I645-1,"")</f>
        <v>0.07931570762052886</v>
      </c>
      <c r="L645" t="s">
        <v>38</v>
      </c>
      <c r="N645" s="1" t="s">
        <f>IF(AND(ISNUMBER(U645),U645&gt;0,ISNUMBER(J645)),ROUND(J645/U645,2),"")</f>
        <v>39</v>
      </c>
      <c r="Q645" t="s">
        <v>40</v>
      </c>
      <c r="R645" t="s">
        <v>39</v>
      </c>
      <c r="S645">
        <v>757755</v>
      </c>
      <c r="T645">
        <v>757755</v>
      </c>
      <c r="X645" t="s">
        <v>41</v>
      </c>
      <c r="Z645" s="1">
        <v>6.43</v>
      </c>
      <c r="AA645" s="1">
        <f>IF(AND(ISNUMBER(Z645),ISNUMBER(I645),I645&gt;0,ISNUMBER(J645)),ROUND(Z645*J645/I645,2),"")</f>
        <v>6.94</v>
      </c>
      <c r="AB645" t="s">
        <v>42</v>
      </c>
      <c r="AC645" t="s">
        <v>43</v>
      </c>
      <c r="AD645" t="s">
        <v>48</v>
      </c>
      <c r="AE645" t="s">
        <v>45</v>
      </c>
    </row>
    <row r="646">
      <c r="A646">
        <v>805781</v>
      </c>
      <c r="B646">
        <v>805781</v>
      </c>
      <c r="C646" t="s">
        <v>1029</v>
      </c>
      <c r="D646" t="s">
        <v>984</v>
      </c>
      <c r="E646" t="s">
        <v>96</v>
      </c>
      <c r="F646" s="1">
        <v>1</v>
      </c>
      <c r="G646" s="2">
        <v>0.4</v>
      </c>
      <c r="H646" s="2">
        <v>0.512</v>
      </c>
      <c r="I646" s="1">
        <v>1.4</v>
      </c>
      <c r="J646" s="1">
        <f>IF(AND(ISNUMBER(F646),ISNUMBER(H646)),ROUND(F646*(1+H646),2),"")</f>
        <v>1.51</v>
      </c>
      <c r="K646" s="2">
        <f>IF(AND(ISNUMBER(I646),I646&gt;0,ISNUMBER(J646)),J646/I646-1,"")</f>
        <v>0.07857142857142874</v>
      </c>
      <c r="L646" t="s">
        <v>38</v>
      </c>
      <c r="N646" s="1" t="s">
        <f>IF(AND(ISNUMBER(U646),U646&gt;0,ISNUMBER(J646)),ROUND(J646/U646,2),"")</f>
        <v>39</v>
      </c>
      <c r="Q646" t="s">
        <v>40</v>
      </c>
      <c r="R646" t="s">
        <v>39</v>
      </c>
      <c r="S646">
        <v>526837</v>
      </c>
      <c r="T646">
        <v>526837</v>
      </c>
      <c r="X646" t="s">
        <v>41</v>
      </c>
      <c r="Z646" s="1">
        <v>1.4</v>
      </c>
      <c r="AA646" s="1">
        <f>IF(AND(ISNUMBER(Z646),ISNUMBER(I646),I646&gt;0,ISNUMBER(J646)),ROUND(Z646*J646/I646,2),"")</f>
        <v>1.51</v>
      </c>
      <c r="AB646" t="s">
        <v>42</v>
      </c>
      <c r="AC646" t="s">
        <v>43</v>
      </c>
      <c r="AD646" t="s">
        <v>48</v>
      </c>
      <c r="AE646" t="s">
        <v>45</v>
      </c>
    </row>
    <row r="647">
      <c r="A647">
        <v>1058758</v>
      </c>
      <c r="B647">
        <v>1058758</v>
      </c>
      <c r="C647" t="s">
        <v>1030</v>
      </c>
      <c r="D647" t="s">
        <v>984</v>
      </c>
      <c r="E647" t="s">
        <v>63</v>
      </c>
      <c r="F647" s="1">
        <v>2.3</v>
      </c>
      <c r="G647" s="2">
        <v>0.4</v>
      </c>
      <c r="H647" s="2">
        <v>0.512</v>
      </c>
      <c r="I647" s="1">
        <v>3.22</v>
      </c>
      <c r="J647" s="1">
        <f>IF(AND(ISNUMBER(F647),ISNUMBER(H647)),ROUND(F647*(1+H647),2),"")</f>
        <v>3.48</v>
      </c>
      <c r="K647" s="2">
        <f>IF(AND(ISNUMBER(I647),I647&gt;0,ISNUMBER(J647)),J647/I647-1,"")</f>
        <v>0.08074534161490665</v>
      </c>
      <c r="L647" t="s">
        <v>38</v>
      </c>
      <c r="N647" s="1" t="s">
        <f>IF(AND(ISNUMBER(U647),U647&gt;0,ISNUMBER(J647)),ROUND(J647/U647,2),"")</f>
        <v>39</v>
      </c>
      <c r="Q647" t="s">
        <v>40</v>
      </c>
      <c r="R647" t="s">
        <v>39</v>
      </c>
      <c r="S647">
        <v>865050</v>
      </c>
      <c r="T647">
        <v>865050</v>
      </c>
      <c r="X647" t="s">
        <v>41</v>
      </c>
      <c r="Z647" s="1">
        <v>3.22</v>
      </c>
      <c r="AA647" s="1">
        <f>IF(AND(ISNUMBER(Z647),ISNUMBER(I647),I647&gt;0,ISNUMBER(J647)),ROUND(Z647*J647/I647,2),"")</f>
        <v>3.48</v>
      </c>
      <c r="AB647" t="s">
        <v>42</v>
      </c>
      <c r="AC647" t="s">
        <v>43</v>
      </c>
      <c r="AD647" t="s">
        <v>48</v>
      </c>
      <c r="AE647" t="s">
        <v>45</v>
      </c>
    </row>
    <row r="648">
      <c r="A648">
        <v>812626</v>
      </c>
      <c r="B648">
        <v>812626</v>
      </c>
      <c r="C648" t="s">
        <v>1031</v>
      </c>
      <c r="D648" t="s">
        <v>984</v>
      </c>
      <c r="E648" t="s">
        <v>100</v>
      </c>
      <c r="F648" s="1">
        <v>1</v>
      </c>
      <c r="G648" s="2">
        <v>0.4</v>
      </c>
      <c r="H648" s="2">
        <v>0.512</v>
      </c>
      <c r="I648" s="1">
        <v>1.4</v>
      </c>
      <c r="J648" s="1">
        <f>IF(AND(ISNUMBER(F648),ISNUMBER(H648)),ROUND(F648*(1+H648),2),"")</f>
        <v>1.51</v>
      </c>
      <c r="K648" s="2">
        <f>IF(AND(ISNUMBER(I648),I648&gt;0,ISNUMBER(J648)),J648/I648-1,"")</f>
        <v>0.07857142857142874</v>
      </c>
      <c r="L648" t="s">
        <v>38</v>
      </c>
      <c r="M648" s="1">
        <v>1.4</v>
      </c>
      <c r="N648" s="1">
        <f>IF(AND(ISNUMBER(U648),U648&gt;0,ISNUMBER(J648)),ROUND(J648/U648,2),"")</f>
        <v>1.51</v>
      </c>
      <c r="Q648" t="s">
        <v>40</v>
      </c>
      <c r="R648" t="s">
        <v>39</v>
      </c>
      <c r="S648">
        <v>534494</v>
      </c>
      <c r="T648">
        <v>534494</v>
      </c>
      <c r="U648" s="3">
        <v>1</v>
      </c>
      <c r="X648" t="s">
        <v>41</v>
      </c>
      <c r="Z648" s="1">
        <v>1.4</v>
      </c>
      <c r="AA648" s="1">
        <f>IF(AND(ISNUMBER(Z648),ISNUMBER(I648),I648&gt;0,ISNUMBER(J648)),ROUND(Z648*J648/I648,2),"")</f>
        <v>1.51</v>
      </c>
      <c r="AB648" t="s">
        <v>42</v>
      </c>
      <c r="AC648" t="s">
        <v>43</v>
      </c>
      <c r="AD648" t="s">
        <v>48</v>
      </c>
      <c r="AE648" t="s">
        <v>45</v>
      </c>
    </row>
    <row r="649">
      <c r="A649">
        <v>805782</v>
      </c>
      <c r="B649">
        <v>805782</v>
      </c>
      <c r="C649" t="s">
        <v>1032</v>
      </c>
      <c r="D649" t="s">
        <v>984</v>
      </c>
      <c r="E649" t="s">
        <v>943</v>
      </c>
      <c r="F649" s="1">
        <v>4.75</v>
      </c>
      <c r="G649" s="2">
        <v>0.4</v>
      </c>
      <c r="H649" s="2">
        <v>0.512</v>
      </c>
      <c r="I649" s="1">
        <v>6.65</v>
      </c>
      <c r="J649" s="1">
        <f>IF(AND(ISNUMBER(F649),ISNUMBER(H649)),ROUND(F649*(1+H649),2),"")</f>
        <v>7.18</v>
      </c>
      <c r="K649" s="2">
        <f>IF(AND(ISNUMBER(I649),I649&gt;0,ISNUMBER(J649)),J649/I649-1,"")</f>
        <v>0.07969924812030071</v>
      </c>
      <c r="L649" t="s">
        <v>38</v>
      </c>
      <c r="N649" s="1" t="s">
        <f>IF(AND(ISNUMBER(U649),U649&gt;0,ISNUMBER(J649)),ROUND(J649/U649,2),"")</f>
        <v>39</v>
      </c>
      <c r="Q649" t="s">
        <v>40</v>
      </c>
      <c r="R649" t="s">
        <v>39</v>
      </c>
      <c r="S649">
        <v>526838</v>
      </c>
      <c r="T649">
        <v>526838</v>
      </c>
      <c r="X649" t="s">
        <v>41</v>
      </c>
      <c r="Z649" s="1">
        <v>6.65</v>
      </c>
      <c r="AA649" s="1">
        <f>IF(AND(ISNUMBER(Z649),ISNUMBER(I649),I649&gt;0,ISNUMBER(J649)),ROUND(Z649*J649/I649,2),"")</f>
        <v>7.18</v>
      </c>
      <c r="AB649" t="s">
        <v>42</v>
      </c>
      <c r="AC649" t="s">
        <v>43</v>
      </c>
      <c r="AD649" t="s">
        <v>48</v>
      </c>
      <c r="AE649" t="s">
        <v>45</v>
      </c>
    </row>
    <row r="650">
      <c r="A650">
        <v>824478</v>
      </c>
      <c r="B650">
        <v>824478</v>
      </c>
      <c r="C650" t="s">
        <v>1033</v>
      </c>
      <c r="D650" t="s">
        <v>984</v>
      </c>
      <c r="E650" t="s">
        <v>100</v>
      </c>
      <c r="F650" s="1">
        <v>1</v>
      </c>
      <c r="G650" s="2">
        <v>0.4</v>
      </c>
      <c r="H650" s="2">
        <v>0.512</v>
      </c>
      <c r="I650" s="1">
        <v>1.4</v>
      </c>
      <c r="J650" s="1">
        <f>IF(AND(ISNUMBER(F650),ISNUMBER(H650)),ROUND(F650*(1+H650),2),"")</f>
        <v>1.51</v>
      </c>
      <c r="K650" s="2">
        <f>IF(AND(ISNUMBER(I650),I650&gt;0,ISNUMBER(J650)),J650/I650-1,"")</f>
        <v>0.07857142857142874</v>
      </c>
      <c r="L650" t="s">
        <v>38</v>
      </c>
      <c r="M650" s="1">
        <v>1.4</v>
      </c>
      <c r="N650" s="1">
        <f>IF(AND(ISNUMBER(U650),U650&gt;0,ISNUMBER(J650)),ROUND(J650/U650,2),"")</f>
        <v>1.51</v>
      </c>
      <c r="Q650" t="s">
        <v>40</v>
      </c>
      <c r="R650" t="s">
        <v>39</v>
      </c>
      <c r="S650">
        <v>548051</v>
      </c>
      <c r="T650">
        <v>548051</v>
      </c>
      <c r="U650" s="3">
        <v>1</v>
      </c>
      <c r="X650" t="s">
        <v>41</v>
      </c>
      <c r="Z650" s="1">
        <v>1.4</v>
      </c>
      <c r="AA650" s="1">
        <f>IF(AND(ISNUMBER(Z650),ISNUMBER(I650),I650&gt;0,ISNUMBER(J650)),ROUND(Z650*J650/I650,2),"")</f>
        <v>1.51</v>
      </c>
      <c r="AB650" t="s">
        <v>42</v>
      </c>
      <c r="AC650" t="s">
        <v>43</v>
      </c>
      <c r="AD650" t="s">
        <v>48</v>
      </c>
      <c r="AE650" t="s">
        <v>45</v>
      </c>
    </row>
    <row r="651">
      <c r="A651">
        <v>805816</v>
      </c>
      <c r="B651">
        <v>805816</v>
      </c>
      <c r="C651" t="s">
        <v>1034</v>
      </c>
      <c r="D651" t="s">
        <v>984</v>
      </c>
      <c r="E651" t="s">
        <v>100</v>
      </c>
      <c r="F651" s="1">
        <v>1.9</v>
      </c>
      <c r="G651" s="2">
        <v>0.4</v>
      </c>
      <c r="H651" s="2">
        <v>0.512</v>
      </c>
      <c r="I651" s="1">
        <v>2.66</v>
      </c>
      <c r="J651" s="1">
        <f>IF(AND(ISNUMBER(F651),ISNUMBER(H651)),ROUND(F651*(1+H651),2),"")</f>
        <v>2.87</v>
      </c>
      <c r="K651" s="2">
        <f>IF(AND(ISNUMBER(I651),I651&gt;0,ISNUMBER(J651)),J651/I651-1,"")</f>
        <v>0.07894736842105265</v>
      </c>
      <c r="L651" t="s">
        <v>38</v>
      </c>
      <c r="M651" s="1">
        <v>2.66</v>
      </c>
      <c r="N651" s="1">
        <f>IF(AND(ISNUMBER(U651),U651&gt;0,ISNUMBER(J651)),ROUND(J651/U651,2),"")</f>
        <v>2.87</v>
      </c>
      <c r="Q651" t="s">
        <v>40</v>
      </c>
      <c r="R651" t="s">
        <v>39</v>
      </c>
      <c r="S651">
        <v>526873</v>
      </c>
      <c r="T651">
        <v>526873</v>
      </c>
      <c r="U651" s="3">
        <v>1</v>
      </c>
      <c r="X651" t="s">
        <v>41</v>
      </c>
      <c r="Z651" s="1">
        <v>2.66</v>
      </c>
      <c r="AA651" s="1">
        <f>IF(AND(ISNUMBER(Z651),ISNUMBER(I651),I651&gt;0,ISNUMBER(J651)),ROUND(Z651*J651/I651,2),"")</f>
        <v>2.87</v>
      </c>
      <c r="AB651" t="s">
        <v>42</v>
      </c>
      <c r="AC651" t="s">
        <v>43</v>
      </c>
      <c r="AD651" t="s">
        <v>48</v>
      </c>
      <c r="AE651" t="s">
        <v>45</v>
      </c>
    </row>
    <row r="652">
      <c r="A652">
        <v>805981</v>
      </c>
      <c r="B652">
        <v>805981</v>
      </c>
      <c r="C652" t="s">
        <v>1035</v>
      </c>
      <c r="D652" t="s">
        <v>984</v>
      </c>
      <c r="E652" t="s">
        <v>96</v>
      </c>
      <c r="F652" s="1">
        <v>2.25</v>
      </c>
      <c r="G652" s="2">
        <v>0.4</v>
      </c>
      <c r="H652" s="2">
        <v>0.512</v>
      </c>
      <c r="I652" s="1">
        <v>3.15</v>
      </c>
      <c r="J652" s="1">
        <f>IF(AND(ISNUMBER(F652),ISNUMBER(H652)),ROUND(F652*(1+H652),2),"")</f>
        <v>3.4</v>
      </c>
      <c r="K652" s="2">
        <f>IF(AND(ISNUMBER(I652),I652&gt;0,ISNUMBER(J652)),J652/I652-1,"")</f>
        <v>0.0793650793650793</v>
      </c>
      <c r="L652" t="s">
        <v>38</v>
      </c>
      <c r="N652" s="1" t="s">
        <f>IF(AND(ISNUMBER(U652),U652&gt;0,ISNUMBER(J652)),ROUND(J652/U652,2),"")</f>
        <v>39</v>
      </c>
      <c r="Q652" t="s">
        <v>40</v>
      </c>
      <c r="R652" t="s">
        <v>39</v>
      </c>
      <c r="S652">
        <v>527041</v>
      </c>
      <c r="T652">
        <v>527041</v>
      </c>
      <c r="X652" t="s">
        <v>41</v>
      </c>
      <c r="Z652" s="1">
        <v>3.15</v>
      </c>
      <c r="AA652" s="1">
        <f>IF(AND(ISNUMBER(Z652),ISNUMBER(I652),I652&gt;0,ISNUMBER(J652)),ROUND(Z652*J652/I652,2),"")</f>
        <v>3.4</v>
      </c>
      <c r="AB652" t="s">
        <v>42</v>
      </c>
      <c r="AC652" t="s">
        <v>43</v>
      </c>
      <c r="AD652" t="s">
        <v>48</v>
      </c>
      <c r="AE652" t="s">
        <v>45</v>
      </c>
    </row>
    <row r="653">
      <c r="A653">
        <v>812617</v>
      </c>
      <c r="B653">
        <v>812617</v>
      </c>
      <c r="C653" t="s">
        <v>149</v>
      </c>
      <c r="D653" t="s">
        <v>984</v>
      </c>
      <c r="E653" t="s">
        <v>153</v>
      </c>
      <c r="F653" s="1">
        <v>2.5</v>
      </c>
      <c r="G653" s="2">
        <v>0.4</v>
      </c>
      <c r="H653" s="2">
        <v>0.512</v>
      </c>
      <c r="I653" s="1">
        <v>3.5</v>
      </c>
      <c r="J653" s="1">
        <f>IF(AND(ISNUMBER(F653),ISNUMBER(H653)),ROUND(F653*(1+H653),2),"")</f>
        <v>3.78</v>
      </c>
      <c r="K653" s="2">
        <f>IF(AND(ISNUMBER(I653),I653&gt;0,ISNUMBER(J653)),J653/I653-1,"")</f>
        <v>0.07999999999999985</v>
      </c>
      <c r="L653" t="s">
        <v>38</v>
      </c>
      <c r="M653" s="1">
        <v>7</v>
      </c>
      <c r="N653" s="1">
        <f>IF(AND(ISNUMBER(U653),U653&gt;0,ISNUMBER(J653)),ROUND(J653/U653,2),"")</f>
        <v>7.56</v>
      </c>
      <c r="Q653" t="s">
        <v>40</v>
      </c>
      <c r="R653" t="s">
        <v>39</v>
      </c>
      <c r="S653">
        <v>534485</v>
      </c>
      <c r="T653">
        <v>534485</v>
      </c>
      <c r="U653" s="3">
        <v>0.5</v>
      </c>
      <c r="X653" t="s">
        <v>41</v>
      </c>
      <c r="Z653" s="1">
        <v>3.5</v>
      </c>
      <c r="AA653" s="1">
        <f>IF(AND(ISNUMBER(Z653),ISNUMBER(I653),I653&gt;0,ISNUMBER(J653)),ROUND(Z653*J653/I653,2),"")</f>
        <v>3.78</v>
      </c>
      <c r="AB653" t="s">
        <v>42</v>
      </c>
      <c r="AC653" t="s">
        <v>43</v>
      </c>
      <c r="AD653" t="s">
        <v>48</v>
      </c>
      <c r="AE653" t="s">
        <v>45</v>
      </c>
    </row>
    <row r="654">
      <c r="A654">
        <v>1048411</v>
      </c>
      <c r="B654">
        <v>1048411</v>
      </c>
      <c r="C654" t="s">
        <v>1036</v>
      </c>
      <c r="D654" t="s">
        <v>984</v>
      </c>
      <c r="E654" t="s">
        <v>100</v>
      </c>
      <c r="F654" s="1">
        <v>3.5</v>
      </c>
      <c r="G654" s="2">
        <v>0.4</v>
      </c>
      <c r="H654" s="2">
        <v>0.512</v>
      </c>
      <c r="I654" s="1">
        <v>4.9</v>
      </c>
      <c r="J654" s="1">
        <f>IF(AND(ISNUMBER(F654),ISNUMBER(H654)),ROUND(F654*(1+H654),2),"")</f>
        <v>5.29</v>
      </c>
      <c r="K654" s="2">
        <f>IF(AND(ISNUMBER(I654),I654&gt;0,ISNUMBER(J654)),J654/I654-1,"")</f>
        <v>0.07959183673469372</v>
      </c>
      <c r="L654" t="s">
        <v>38</v>
      </c>
      <c r="M654" s="1">
        <v>4.9</v>
      </c>
      <c r="N654" s="1">
        <f>IF(AND(ISNUMBER(U654),U654&gt;0,ISNUMBER(J654)),ROUND(J654/U654,2),"")</f>
        <v>5.29</v>
      </c>
      <c r="Q654" t="s">
        <v>40</v>
      </c>
      <c r="R654" t="s">
        <v>39</v>
      </c>
      <c r="S654">
        <v>851691</v>
      </c>
      <c r="T654">
        <v>851691</v>
      </c>
      <c r="U654" s="3">
        <v>1</v>
      </c>
      <c r="X654" t="s">
        <v>41</v>
      </c>
      <c r="Z654" s="1">
        <v>4.9</v>
      </c>
      <c r="AA654" s="1">
        <f>IF(AND(ISNUMBER(Z654),ISNUMBER(I654),I654&gt;0,ISNUMBER(J654)),ROUND(Z654*J654/I654,2),"")</f>
        <v>5.29</v>
      </c>
      <c r="AB654" t="s">
        <v>42</v>
      </c>
      <c r="AC654" t="s">
        <v>43</v>
      </c>
      <c r="AD654" t="s">
        <v>44</v>
      </c>
      <c r="AE654" t="s">
        <v>45</v>
      </c>
    </row>
    <row r="655">
      <c r="A655">
        <v>805927</v>
      </c>
      <c r="B655">
        <v>805927</v>
      </c>
      <c r="C655" t="s">
        <v>1037</v>
      </c>
      <c r="D655" t="s">
        <v>984</v>
      </c>
      <c r="E655" t="s">
        <v>153</v>
      </c>
      <c r="F655" s="1">
        <v>4.08</v>
      </c>
      <c r="G655" s="2">
        <v>0.4</v>
      </c>
      <c r="H655" s="2">
        <v>0.512</v>
      </c>
      <c r="I655" s="1">
        <v>5.71</v>
      </c>
      <c r="J655" s="1">
        <f>IF(AND(ISNUMBER(F655),ISNUMBER(H655)),ROUND(F655*(1+H655),2),"")</f>
        <v>6.17</v>
      </c>
      <c r="K655" s="2">
        <f>IF(AND(ISNUMBER(I655),I655&gt;0,ISNUMBER(J655)),J655/I655-1,"")</f>
        <v>0.08056042031523636</v>
      </c>
      <c r="L655" t="s">
        <v>38</v>
      </c>
      <c r="M655" s="1">
        <v>11.42</v>
      </c>
      <c r="N655" s="1">
        <f>IF(AND(ISNUMBER(U655),U655&gt;0,ISNUMBER(J655)),ROUND(J655/U655,2),"")</f>
        <v>12.34</v>
      </c>
      <c r="Q655" t="s">
        <v>40</v>
      </c>
      <c r="R655" t="s">
        <v>39</v>
      </c>
      <c r="S655">
        <v>526987</v>
      </c>
      <c r="T655">
        <v>526987</v>
      </c>
      <c r="U655" s="3">
        <v>0.5</v>
      </c>
      <c r="X655" t="s">
        <v>41</v>
      </c>
      <c r="Z655" s="1">
        <v>5.71</v>
      </c>
      <c r="AA655" s="1">
        <f>IF(AND(ISNUMBER(Z655),ISNUMBER(I655),I655&gt;0,ISNUMBER(J655)),ROUND(Z655*J655/I655,2),"")</f>
        <v>6.17</v>
      </c>
      <c r="AB655" t="s">
        <v>42</v>
      </c>
      <c r="AC655" t="s">
        <v>43</v>
      </c>
      <c r="AD655" t="s">
        <v>44</v>
      </c>
      <c r="AE655" t="s">
        <v>45</v>
      </c>
    </row>
    <row r="656">
      <c r="A656">
        <v>1028364</v>
      </c>
      <c r="B656">
        <v>1028364</v>
      </c>
      <c r="C656" t="s">
        <v>1038</v>
      </c>
      <c r="D656" t="s">
        <v>984</v>
      </c>
      <c r="E656" t="s">
        <v>153</v>
      </c>
      <c r="F656" s="1">
        <v>2.66</v>
      </c>
      <c r="G656" s="2">
        <v>0.4</v>
      </c>
      <c r="H656" s="2">
        <v>0.512</v>
      </c>
      <c r="I656" s="1">
        <v>3.72</v>
      </c>
      <c r="J656" s="1">
        <f>IF(AND(ISNUMBER(F656),ISNUMBER(H656)),ROUND(F656*(1+H656),2),"")</f>
        <v>4.02</v>
      </c>
      <c r="K656" s="2">
        <f>IF(AND(ISNUMBER(I656),I656&gt;0,ISNUMBER(J656)),J656/I656-1,"")</f>
        <v>0.08064516129032251</v>
      </c>
      <c r="L656" t="s">
        <v>38</v>
      </c>
      <c r="M656" s="1">
        <v>7.44</v>
      </c>
      <c r="N656" s="1">
        <f>IF(AND(ISNUMBER(U656),U656&gt;0,ISNUMBER(J656)),ROUND(J656/U656,2),"")</f>
        <v>8.04</v>
      </c>
      <c r="Q656" t="s">
        <v>40</v>
      </c>
      <c r="R656" t="s">
        <v>39</v>
      </c>
      <c r="S656">
        <v>818332</v>
      </c>
      <c r="T656">
        <v>818332</v>
      </c>
      <c r="U656" s="3">
        <v>0.5</v>
      </c>
      <c r="X656" t="s">
        <v>41</v>
      </c>
      <c r="Z656" s="1">
        <v>3.72</v>
      </c>
      <c r="AA656" s="1">
        <f>IF(AND(ISNUMBER(Z656),ISNUMBER(I656),I656&gt;0,ISNUMBER(J656)),ROUND(Z656*J656/I656,2),"")</f>
        <v>4.02</v>
      </c>
      <c r="AB656" t="s">
        <v>42</v>
      </c>
      <c r="AC656" t="s">
        <v>43</v>
      </c>
      <c r="AD656" t="s">
        <v>48</v>
      </c>
      <c r="AE656" t="s">
        <v>45</v>
      </c>
    </row>
    <row r="657">
      <c r="A657">
        <v>805945</v>
      </c>
      <c r="B657">
        <v>805945</v>
      </c>
      <c r="C657" t="s">
        <v>1039</v>
      </c>
      <c r="D657" t="s">
        <v>984</v>
      </c>
      <c r="E657" t="s">
        <v>96</v>
      </c>
      <c r="F657" s="1">
        <v>3.21</v>
      </c>
      <c r="G657" s="2">
        <v>0.4</v>
      </c>
      <c r="H657" s="2">
        <v>0.512</v>
      </c>
      <c r="I657" s="1">
        <v>4.49</v>
      </c>
      <c r="J657" s="1">
        <f>IF(AND(ISNUMBER(F657),ISNUMBER(H657)),ROUND(F657*(1+H657),2),"")</f>
        <v>4.85</v>
      </c>
      <c r="K657" s="2">
        <f>IF(AND(ISNUMBER(I657),I657&gt;0,ISNUMBER(J657)),J657/I657-1,"")</f>
        <v>0.0801781737193763</v>
      </c>
      <c r="L657" t="s">
        <v>38</v>
      </c>
      <c r="N657" s="1" t="s">
        <f>IF(AND(ISNUMBER(U657),U657&gt;0,ISNUMBER(J657)),ROUND(J657/U657,2),"")</f>
        <v>39</v>
      </c>
      <c r="Q657" t="s">
        <v>40</v>
      </c>
      <c r="R657" t="s">
        <v>39</v>
      </c>
      <c r="S657">
        <v>527005</v>
      </c>
      <c r="T657">
        <v>527005</v>
      </c>
      <c r="X657" t="s">
        <v>41</v>
      </c>
      <c r="Z657" s="1">
        <v>4.49</v>
      </c>
      <c r="AA657" s="1">
        <f>IF(AND(ISNUMBER(Z657),ISNUMBER(I657),I657&gt;0,ISNUMBER(J657)),ROUND(Z657*J657/I657,2),"")</f>
        <v>4.85</v>
      </c>
      <c r="AB657" t="s">
        <v>42</v>
      </c>
      <c r="AC657" t="s">
        <v>43</v>
      </c>
      <c r="AD657" t="s">
        <v>48</v>
      </c>
      <c r="AE657" t="s">
        <v>45</v>
      </c>
    </row>
    <row r="658">
      <c r="A658">
        <v>805938</v>
      </c>
      <c r="B658">
        <v>805938</v>
      </c>
      <c r="C658" t="s">
        <v>1040</v>
      </c>
      <c r="D658" t="s">
        <v>984</v>
      </c>
      <c r="E658" t="s">
        <v>100</v>
      </c>
      <c r="F658" s="1">
        <v>4.1</v>
      </c>
      <c r="G658" s="2">
        <v>0.4</v>
      </c>
      <c r="H658" s="2">
        <v>0.512</v>
      </c>
      <c r="I658" s="1">
        <v>5.74</v>
      </c>
      <c r="J658" s="1">
        <f>IF(AND(ISNUMBER(F658),ISNUMBER(H658)),ROUND(F658*(1+H658),2),"")</f>
        <v>6.2</v>
      </c>
      <c r="K658" s="2">
        <f>IF(AND(ISNUMBER(I658),I658&gt;0,ISNUMBER(J658)),J658/I658-1,"")</f>
        <v>0.08013937282229966</v>
      </c>
      <c r="L658" t="s">
        <v>38</v>
      </c>
      <c r="M658" s="1">
        <v>5.74</v>
      </c>
      <c r="N658" s="1">
        <f>IF(AND(ISNUMBER(U658),U658&gt;0,ISNUMBER(J658)),ROUND(J658/U658,2),"")</f>
        <v>6.2</v>
      </c>
      <c r="Q658" t="s">
        <v>40</v>
      </c>
      <c r="R658" t="s">
        <v>39</v>
      </c>
      <c r="S658">
        <v>526998</v>
      </c>
      <c r="T658">
        <v>526998</v>
      </c>
      <c r="U658" s="3">
        <v>1</v>
      </c>
      <c r="X658" t="s">
        <v>41</v>
      </c>
      <c r="Z658" s="1">
        <v>5.74</v>
      </c>
      <c r="AA658" s="1">
        <f>IF(AND(ISNUMBER(Z658),ISNUMBER(I658),I658&gt;0,ISNUMBER(J658)),ROUND(Z658*J658/I658,2),"")</f>
        <v>6.2</v>
      </c>
      <c r="AB658" t="s">
        <v>42</v>
      </c>
      <c r="AC658" t="s">
        <v>43</v>
      </c>
      <c r="AD658" t="s">
        <v>48</v>
      </c>
      <c r="AE658" t="s">
        <v>45</v>
      </c>
    </row>
    <row r="659">
      <c r="A659">
        <v>805827</v>
      </c>
      <c r="B659">
        <v>805827</v>
      </c>
      <c r="C659" t="s">
        <v>1041</v>
      </c>
      <c r="D659" t="s">
        <v>984</v>
      </c>
      <c r="E659" t="s">
        <v>96</v>
      </c>
      <c r="F659" s="1">
        <v>3.5</v>
      </c>
      <c r="G659" s="2">
        <v>0.4</v>
      </c>
      <c r="H659" s="2">
        <v>0.512</v>
      </c>
      <c r="I659" s="1">
        <v>4.9</v>
      </c>
      <c r="J659" s="1">
        <f>IF(AND(ISNUMBER(F659),ISNUMBER(H659)),ROUND(F659*(1+H659),2),"")</f>
        <v>5.29</v>
      </c>
      <c r="K659" s="2">
        <f>IF(AND(ISNUMBER(I659),I659&gt;0,ISNUMBER(J659)),J659/I659-1,"")</f>
        <v>0.07959183673469372</v>
      </c>
      <c r="L659" t="s">
        <v>38</v>
      </c>
      <c r="N659" s="1" t="s">
        <f>IF(AND(ISNUMBER(U659),U659&gt;0,ISNUMBER(J659)),ROUND(J659/U659,2),"")</f>
        <v>39</v>
      </c>
      <c r="Q659" t="s">
        <v>40</v>
      </c>
      <c r="R659" t="s">
        <v>39</v>
      </c>
      <c r="S659">
        <v>526885</v>
      </c>
      <c r="T659">
        <v>526885</v>
      </c>
      <c r="X659" t="s">
        <v>41</v>
      </c>
      <c r="Z659" s="1">
        <v>4.9</v>
      </c>
      <c r="AA659" s="1">
        <f>IF(AND(ISNUMBER(Z659),ISNUMBER(I659),I659&gt;0,ISNUMBER(J659)),ROUND(Z659*J659/I659,2),"")</f>
        <v>5.29</v>
      </c>
      <c r="AB659" t="s">
        <v>42</v>
      </c>
      <c r="AC659" t="s">
        <v>43</v>
      </c>
      <c r="AD659" t="s">
        <v>48</v>
      </c>
      <c r="AE659" t="s">
        <v>45</v>
      </c>
    </row>
    <row r="660">
      <c r="A660">
        <v>871793</v>
      </c>
      <c r="B660">
        <v>871793</v>
      </c>
      <c r="C660" t="s">
        <v>1042</v>
      </c>
      <c r="D660" t="s">
        <v>984</v>
      </c>
      <c r="E660" t="s">
        <v>832</v>
      </c>
      <c r="F660" s="1">
        <v>1.05</v>
      </c>
      <c r="G660" s="2">
        <v>0.4</v>
      </c>
      <c r="H660" s="2">
        <v>0.512</v>
      </c>
      <c r="I660" s="1">
        <v>1.47</v>
      </c>
      <c r="J660" s="1">
        <f>IF(AND(ISNUMBER(F660),ISNUMBER(H660)),ROUND(F660*(1+H660),2),"")</f>
        <v>1.59</v>
      </c>
      <c r="K660" s="2">
        <f>IF(AND(ISNUMBER(I660),I660&gt;0,ISNUMBER(J660)),J660/I660-1,"")</f>
        <v>0.08163265306122458</v>
      </c>
      <c r="L660" t="s">
        <v>38</v>
      </c>
      <c r="M660" s="1">
        <v>1.47</v>
      </c>
      <c r="N660" s="1">
        <f>IF(AND(ISNUMBER(U660),U660&gt;0,ISNUMBER(J660)),ROUND(J660/U660,2),"")</f>
        <v>1.59</v>
      </c>
      <c r="Q660" t="s">
        <v>40</v>
      </c>
      <c r="R660" t="s">
        <v>39</v>
      </c>
      <c r="S660">
        <v>605504</v>
      </c>
      <c r="T660">
        <v>605504</v>
      </c>
      <c r="U660" s="3">
        <v>1</v>
      </c>
      <c r="X660" t="s">
        <v>41</v>
      </c>
      <c r="Z660" s="1">
        <v>1.47</v>
      </c>
      <c r="AA660" s="1">
        <f>IF(AND(ISNUMBER(Z660),ISNUMBER(I660),I660&gt;0,ISNUMBER(J660)),ROUND(Z660*J660/I660,2),"")</f>
        <v>1.59</v>
      </c>
      <c r="AB660" t="s">
        <v>42</v>
      </c>
      <c r="AC660" t="s">
        <v>43</v>
      </c>
      <c r="AD660" t="s">
        <v>48</v>
      </c>
      <c r="AE660" t="s">
        <v>45</v>
      </c>
    </row>
    <row r="661">
      <c r="A661">
        <v>927363</v>
      </c>
      <c r="B661">
        <v>927363</v>
      </c>
      <c r="C661" t="s">
        <v>1043</v>
      </c>
      <c r="D661" t="s">
        <v>984</v>
      </c>
      <c r="E661" t="s">
        <v>96</v>
      </c>
      <c r="F661" s="1">
        <v>2.11</v>
      </c>
      <c r="G661" s="2">
        <v>0.4</v>
      </c>
      <c r="H661" s="2">
        <v>0.512</v>
      </c>
      <c r="I661" s="1">
        <v>2.95</v>
      </c>
      <c r="J661" s="1">
        <f>IF(AND(ISNUMBER(F661),ISNUMBER(H661)),ROUND(F661*(1+H661),2),"")</f>
        <v>3.19</v>
      </c>
      <c r="K661" s="2">
        <f>IF(AND(ISNUMBER(I661),I661&gt;0,ISNUMBER(J661)),J661/I661-1,"")</f>
        <v>0.08135593220338966</v>
      </c>
      <c r="L661" t="s">
        <v>38</v>
      </c>
      <c r="N661" s="1" t="s">
        <f>IF(AND(ISNUMBER(U661),U661&gt;0,ISNUMBER(J661)),ROUND(J661/U661,2),"")</f>
        <v>39</v>
      </c>
      <c r="Q661" t="s">
        <v>40</v>
      </c>
      <c r="R661" t="s">
        <v>39</v>
      </c>
      <c r="S661">
        <v>675350</v>
      </c>
      <c r="T661">
        <v>675350</v>
      </c>
      <c r="X661" t="s">
        <v>41</v>
      </c>
      <c r="Z661" s="1">
        <v>2.95</v>
      </c>
      <c r="AA661" s="1">
        <f>IF(AND(ISNUMBER(Z661),ISNUMBER(I661),I661&gt;0,ISNUMBER(J661)),ROUND(Z661*J661/I661,2),"")</f>
        <v>3.19</v>
      </c>
      <c r="AB661" t="s">
        <v>42</v>
      </c>
      <c r="AC661" t="s">
        <v>43</v>
      </c>
      <c r="AD661" t="s">
        <v>48</v>
      </c>
      <c r="AE661" t="s">
        <v>45</v>
      </c>
    </row>
    <row r="662">
      <c r="A662">
        <v>1058759</v>
      </c>
      <c r="B662">
        <v>1058759</v>
      </c>
      <c r="C662" t="s">
        <v>1044</v>
      </c>
      <c r="D662" t="s">
        <v>984</v>
      </c>
      <c r="E662" t="s">
        <v>98</v>
      </c>
      <c r="F662" s="1">
        <v>2.57</v>
      </c>
      <c r="G662" s="2">
        <v>0.4</v>
      </c>
      <c r="H662" s="2">
        <v>0.512</v>
      </c>
      <c r="I662" s="1">
        <v>3.6</v>
      </c>
      <c r="J662" s="1">
        <f>IF(AND(ISNUMBER(F662),ISNUMBER(H662)),ROUND(F662*(1+H662),2),"")</f>
        <v>3.89</v>
      </c>
      <c r="K662" s="2">
        <f>IF(AND(ISNUMBER(I662),I662&gt;0,ISNUMBER(J662)),J662/I662-1,"")</f>
        <v>0.08055555555555549</v>
      </c>
      <c r="L662" t="s">
        <v>38</v>
      </c>
      <c r="N662" s="1" t="s">
        <f>IF(AND(ISNUMBER(U662),U662&gt;0,ISNUMBER(J662)),ROUND(J662/U662,2),"")</f>
        <v>39</v>
      </c>
      <c r="Q662" t="s">
        <v>40</v>
      </c>
      <c r="R662" t="s">
        <v>39</v>
      </c>
      <c r="S662">
        <v>865051</v>
      </c>
      <c r="T662">
        <v>865051</v>
      </c>
      <c r="X662" t="s">
        <v>41</v>
      </c>
      <c r="Z662" s="1">
        <v>3.6</v>
      </c>
      <c r="AA662" s="1">
        <f>IF(AND(ISNUMBER(Z662),ISNUMBER(I662),I662&gt;0,ISNUMBER(J662)),ROUND(Z662*J662/I662,2),"")</f>
        <v>3.89</v>
      </c>
      <c r="AB662" t="s">
        <v>42</v>
      </c>
      <c r="AC662" t="s">
        <v>43</v>
      </c>
      <c r="AD662" t="s">
        <v>48</v>
      </c>
      <c r="AE662" t="s">
        <v>45</v>
      </c>
    </row>
    <row r="663">
      <c r="A663">
        <v>940149</v>
      </c>
      <c r="B663">
        <v>940149</v>
      </c>
      <c r="C663" t="s">
        <v>1045</v>
      </c>
      <c r="D663" t="s">
        <v>984</v>
      </c>
      <c r="E663" t="s">
        <v>684</v>
      </c>
      <c r="F663" s="1">
        <v>3.1</v>
      </c>
      <c r="G663" s="2">
        <v>0.4</v>
      </c>
      <c r="H663" s="2">
        <v>0.512</v>
      </c>
      <c r="I663" s="1">
        <v>4.34</v>
      </c>
      <c r="J663" s="1">
        <f>IF(AND(ISNUMBER(F663),ISNUMBER(H663)),ROUND(F663*(1+H663),2),"")</f>
        <v>4.69</v>
      </c>
      <c r="K663" s="2">
        <f>IF(AND(ISNUMBER(I663),I663&gt;0,ISNUMBER(J663)),J663/I663-1,"")</f>
        <v>0.08064516129032273</v>
      </c>
      <c r="L663" t="s">
        <v>38</v>
      </c>
      <c r="N663" s="1" t="s">
        <f>IF(AND(ISNUMBER(U663),U663&gt;0,ISNUMBER(J663)),ROUND(J663/U663,2),"")</f>
        <v>39</v>
      </c>
      <c r="Q663" t="s">
        <v>40</v>
      </c>
      <c r="R663" t="s">
        <v>39</v>
      </c>
      <c r="S663">
        <v>693996</v>
      </c>
      <c r="T663">
        <v>693996</v>
      </c>
      <c r="X663" t="s">
        <v>41</v>
      </c>
      <c r="Z663" s="1">
        <v>4.34</v>
      </c>
      <c r="AA663" s="1">
        <f>IF(AND(ISNUMBER(Z663),ISNUMBER(I663),I663&gt;0,ISNUMBER(J663)),ROUND(Z663*J663/I663,2),"")</f>
        <v>4.69</v>
      </c>
      <c r="AB663" t="s">
        <v>42</v>
      </c>
      <c r="AC663" t="s">
        <v>43</v>
      </c>
      <c r="AD663" t="s">
        <v>48</v>
      </c>
      <c r="AE663" t="s">
        <v>45</v>
      </c>
    </row>
    <row r="664">
      <c r="A664">
        <v>806124</v>
      </c>
      <c r="B664">
        <v>806124</v>
      </c>
      <c r="C664" t="s">
        <v>1046</v>
      </c>
      <c r="D664" t="s">
        <v>1047</v>
      </c>
      <c r="E664" t="s">
        <v>212</v>
      </c>
      <c r="J664" s="1" t="s">
        <f>IF(AND(ISNUMBER(F664),ISNUMBER(H664)),ROUND(F664*(1+H664),2),"")</f>
        <v>39</v>
      </c>
      <c r="K664" s="2" t="s">
        <f>IF(AND(ISNUMBER(I664),I664&gt;0,ISNUMBER(J664)),J664/I664-1,"")</f>
        <v>39</v>
      </c>
      <c r="L664" t="s">
        <v>38</v>
      </c>
      <c r="N664" s="1" t="s">
        <f>IF(AND(ISNUMBER(U664),U664&gt;0,ISNUMBER(J664)),ROUND(J664/U664,2),"")</f>
        <v>39</v>
      </c>
      <c r="Q664" t="s">
        <v>166</v>
      </c>
      <c r="R664" t="s">
        <v>39</v>
      </c>
      <c r="S664">
        <v>527189</v>
      </c>
      <c r="T664">
        <v>527189</v>
      </c>
      <c r="U664" s="3">
        <v>0.75</v>
      </c>
      <c r="X664" t="s">
        <v>41</v>
      </c>
      <c r="AA664" s="1" t="s">
        <f>IF(AND(ISNUMBER(Z664),ISNUMBER(I664),I664&gt;0,ISNUMBER(J664)),ROUND(Z664*J664/I664,2),"")</f>
        <v>39</v>
      </c>
      <c r="AB664" t="s">
        <v>167</v>
      </c>
      <c r="AC664" t="s">
        <v>685</v>
      </c>
      <c r="AD664" t="s">
        <v>48</v>
      </c>
      <c r="AE664" t="s">
        <v>45</v>
      </c>
    </row>
    <row r="665">
      <c r="A665">
        <v>919071</v>
      </c>
      <c r="B665">
        <v>919071</v>
      </c>
      <c r="C665" t="s">
        <v>1048</v>
      </c>
      <c r="D665" t="s">
        <v>1047</v>
      </c>
      <c r="E665" t="s">
        <v>212</v>
      </c>
      <c r="J665" s="1" t="s">
        <f>IF(AND(ISNUMBER(F665),ISNUMBER(H665)),ROUND(F665*(1+H665),2),"")</f>
        <v>39</v>
      </c>
      <c r="K665" s="2" t="s">
        <f>IF(AND(ISNUMBER(I665),I665&gt;0,ISNUMBER(J665)),J665/I665-1,"")</f>
        <v>39</v>
      </c>
      <c r="L665" t="s">
        <v>38</v>
      </c>
      <c r="N665" s="1" t="s">
        <f>IF(AND(ISNUMBER(U665),U665&gt;0,ISNUMBER(J665)),ROUND(J665/U665,2),"")</f>
        <v>39</v>
      </c>
      <c r="Q665" t="s">
        <v>166</v>
      </c>
      <c r="R665" t="s">
        <v>39</v>
      </c>
      <c r="S665">
        <v>664925</v>
      </c>
      <c r="T665">
        <v>664925</v>
      </c>
      <c r="U665" s="3">
        <v>0.75</v>
      </c>
      <c r="X665" t="s">
        <v>41</v>
      </c>
      <c r="AA665" s="1" t="s">
        <f>IF(AND(ISNUMBER(Z665),ISNUMBER(I665),I665&gt;0,ISNUMBER(J665)),ROUND(Z665*J665/I665,2),"")</f>
        <v>39</v>
      </c>
      <c r="AB665" t="s">
        <v>167</v>
      </c>
      <c r="AC665" t="s">
        <v>685</v>
      </c>
      <c r="AD665" t="s">
        <v>48</v>
      </c>
      <c r="AE665" t="s">
        <v>45</v>
      </c>
    </row>
    <row r="666">
      <c r="A666">
        <v>806127</v>
      </c>
      <c r="B666">
        <v>806127</v>
      </c>
      <c r="C666" t="s">
        <v>1049</v>
      </c>
      <c r="D666" t="s">
        <v>1047</v>
      </c>
      <c r="E666" t="s">
        <v>212</v>
      </c>
      <c r="F666" s="1">
        <v>12</v>
      </c>
      <c r="G666" s="2">
        <v>0.4</v>
      </c>
      <c r="H666" s="2">
        <v>0.512</v>
      </c>
      <c r="I666" s="1">
        <v>16.8</v>
      </c>
      <c r="J666" s="1">
        <f>IF(AND(ISNUMBER(F666),ISNUMBER(H666)),ROUND(F666*(1+H666),2),"")</f>
        <v>18.14</v>
      </c>
      <c r="K666" s="2">
        <f>IF(AND(ISNUMBER(I666),I666&gt;0,ISNUMBER(J666)),J666/I666-1,"")</f>
        <v>0.0797619047619047</v>
      </c>
      <c r="L666" t="s">
        <v>38</v>
      </c>
      <c r="M666" s="1">
        <v>22.4</v>
      </c>
      <c r="N666" s="1">
        <f>IF(AND(ISNUMBER(U666),U666&gt;0,ISNUMBER(J666)),ROUND(J666/U666,2),"")</f>
        <v>24.19</v>
      </c>
      <c r="Q666" t="s">
        <v>40</v>
      </c>
      <c r="R666" t="s">
        <v>39</v>
      </c>
      <c r="S666">
        <v>527192</v>
      </c>
      <c r="T666">
        <v>527192</v>
      </c>
      <c r="U666" s="3">
        <v>0.75</v>
      </c>
      <c r="X666" t="s">
        <v>41</v>
      </c>
      <c r="Z666" s="1">
        <v>16.8</v>
      </c>
      <c r="AA666" s="1">
        <f>IF(AND(ISNUMBER(Z666),ISNUMBER(I666),I666&gt;0,ISNUMBER(J666)),ROUND(Z666*J666/I666,2),"")</f>
        <v>18.14</v>
      </c>
      <c r="AB666" t="s">
        <v>42</v>
      </c>
      <c r="AC666" t="s">
        <v>43</v>
      </c>
      <c r="AD666" t="s">
        <v>44</v>
      </c>
      <c r="AE666" t="s">
        <v>45</v>
      </c>
    </row>
    <row r="667">
      <c r="A667">
        <v>919070</v>
      </c>
      <c r="B667">
        <v>919070</v>
      </c>
      <c r="C667" t="s">
        <v>1050</v>
      </c>
      <c r="D667" t="s">
        <v>1047</v>
      </c>
      <c r="E667" t="s">
        <v>212</v>
      </c>
      <c r="F667" s="1">
        <v>12</v>
      </c>
      <c r="G667" s="2">
        <v>0.4</v>
      </c>
      <c r="H667" s="2">
        <v>0.512</v>
      </c>
      <c r="I667" s="1">
        <v>16.8</v>
      </c>
      <c r="J667" s="1">
        <f>IF(AND(ISNUMBER(F667),ISNUMBER(H667)),ROUND(F667*(1+H667),2),"")</f>
        <v>18.14</v>
      </c>
      <c r="K667" s="2">
        <f>IF(AND(ISNUMBER(I667),I667&gt;0,ISNUMBER(J667)),J667/I667-1,"")</f>
        <v>0.0797619047619047</v>
      </c>
      <c r="L667" t="s">
        <v>38</v>
      </c>
      <c r="M667" s="1">
        <v>22.4</v>
      </c>
      <c r="N667" s="1">
        <f>IF(AND(ISNUMBER(U667),U667&gt;0,ISNUMBER(J667)),ROUND(J667/U667,2),"")</f>
        <v>24.19</v>
      </c>
      <c r="Q667" t="s">
        <v>40</v>
      </c>
      <c r="R667" t="s">
        <v>39</v>
      </c>
      <c r="S667">
        <v>664924</v>
      </c>
      <c r="T667">
        <v>664924</v>
      </c>
      <c r="U667" s="3">
        <v>0.75</v>
      </c>
      <c r="X667" t="s">
        <v>41</v>
      </c>
      <c r="Z667" s="1">
        <v>16.8</v>
      </c>
      <c r="AA667" s="1">
        <f>IF(AND(ISNUMBER(Z667),ISNUMBER(I667),I667&gt;0,ISNUMBER(J667)),ROUND(Z667*J667/I667,2),"")</f>
        <v>18.14</v>
      </c>
      <c r="AB667" t="s">
        <v>42</v>
      </c>
      <c r="AC667" t="s">
        <v>43</v>
      </c>
      <c r="AD667" t="s">
        <v>44</v>
      </c>
      <c r="AE667" t="s">
        <v>45</v>
      </c>
    </row>
    <row r="668">
      <c r="A668">
        <v>925430</v>
      </c>
      <c r="B668">
        <v>925430</v>
      </c>
      <c r="C668" t="s">
        <v>1051</v>
      </c>
      <c r="D668" t="s">
        <v>1047</v>
      </c>
      <c r="E668" t="s">
        <v>212</v>
      </c>
      <c r="F668" s="1">
        <v>12</v>
      </c>
      <c r="G668" s="2">
        <v>0.4</v>
      </c>
      <c r="H668" s="2">
        <v>0.512</v>
      </c>
      <c r="I668" s="1">
        <v>16.8</v>
      </c>
      <c r="J668" s="1">
        <f>IF(AND(ISNUMBER(F668),ISNUMBER(H668)),ROUND(F668*(1+H668),2),"")</f>
        <v>18.14</v>
      </c>
      <c r="K668" s="2">
        <f>IF(AND(ISNUMBER(I668),I668&gt;0,ISNUMBER(J668)),J668/I668-1,"")</f>
        <v>0.0797619047619047</v>
      </c>
      <c r="L668" t="s">
        <v>38</v>
      </c>
      <c r="M668" s="1">
        <v>22.4</v>
      </c>
      <c r="N668" s="1">
        <f>IF(AND(ISNUMBER(U668),U668&gt;0,ISNUMBER(J668)),ROUND(J668/U668,2),"")</f>
        <v>24.19</v>
      </c>
      <c r="Q668" t="s">
        <v>40</v>
      </c>
      <c r="R668" t="s">
        <v>39</v>
      </c>
      <c r="S668">
        <v>672999</v>
      </c>
      <c r="T668">
        <v>672999</v>
      </c>
      <c r="U668" s="3">
        <v>0.75</v>
      </c>
      <c r="X668" t="s">
        <v>41</v>
      </c>
      <c r="Z668" s="1">
        <v>16.8</v>
      </c>
      <c r="AA668" s="1">
        <f>IF(AND(ISNUMBER(Z668),ISNUMBER(I668),I668&gt;0,ISNUMBER(J668)),ROUND(Z668*J668/I668,2),"")</f>
        <v>18.14</v>
      </c>
      <c r="AB668" t="s">
        <v>42</v>
      </c>
      <c r="AC668" t="s">
        <v>43</v>
      </c>
      <c r="AD668" t="s">
        <v>44</v>
      </c>
      <c r="AE668" t="s">
        <v>45</v>
      </c>
    </row>
    <row r="669">
      <c r="A669">
        <v>925432</v>
      </c>
      <c r="B669">
        <v>925432</v>
      </c>
      <c r="C669" t="s">
        <v>1052</v>
      </c>
      <c r="D669" t="s">
        <v>1047</v>
      </c>
      <c r="E669" t="s">
        <v>212</v>
      </c>
      <c r="F669" s="1">
        <v>12</v>
      </c>
      <c r="G669" s="2">
        <v>0.4</v>
      </c>
      <c r="H669" s="2">
        <v>0.512</v>
      </c>
      <c r="I669" s="1">
        <v>16.8</v>
      </c>
      <c r="J669" s="1">
        <f>IF(AND(ISNUMBER(F669),ISNUMBER(H669)),ROUND(F669*(1+H669),2),"")</f>
        <v>18.14</v>
      </c>
      <c r="K669" s="2">
        <f>IF(AND(ISNUMBER(I669),I669&gt;0,ISNUMBER(J669)),J669/I669-1,"")</f>
        <v>0.0797619047619047</v>
      </c>
      <c r="L669" t="s">
        <v>38</v>
      </c>
      <c r="M669" s="1">
        <v>22.4</v>
      </c>
      <c r="N669" s="1">
        <f>IF(AND(ISNUMBER(U669),U669&gt;0,ISNUMBER(J669)),ROUND(J669/U669,2),"")</f>
        <v>24.19</v>
      </c>
      <c r="Q669" t="s">
        <v>40</v>
      </c>
      <c r="R669" t="s">
        <v>39</v>
      </c>
      <c r="S669">
        <v>673001</v>
      </c>
      <c r="T669">
        <v>673001</v>
      </c>
      <c r="U669" s="3">
        <v>0.75</v>
      </c>
      <c r="X669" t="s">
        <v>41</v>
      </c>
      <c r="Z669" s="1">
        <v>16.8</v>
      </c>
      <c r="AA669" s="1">
        <f>IF(AND(ISNUMBER(Z669),ISNUMBER(I669),I669&gt;0,ISNUMBER(J669)),ROUND(Z669*J669/I669,2),"")</f>
        <v>18.14</v>
      </c>
      <c r="AB669" t="s">
        <v>42</v>
      </c>
      <c r="AC669" t="s">
        <v>43</v>
      </c>
      <c r="AD669" t="s">
        <v>44</v>
      </c>
      <c r="AE669" t="s">
        <v>45</v>
      </c>
    </row>
    <row r="670">
      <c r="A670">
        <v>806131</v>
      </c>
      <c r="B670">
        <v>806131</v>
      </c>
      <c r="C670" t="s">
        <v>1053</v>
      </c>
      <c r="D670" t="s">
        <v>1047</v>
      </c>
      <c r="E670" t="s">
        <v>212</v>
      </c>
      <c r="F670" s="1">
        <v>13</v>
      </c>
      <c r="G670" s="2">
        <v>0.4</v>
      </c>
      <c r="H670" s="2">
        <v>0.512</v>
      </c>
      <c r="I670" s="1">
        <v>18.2</v>
      </c>
      <c r="J670" s="1">
        <f>IF(AND(ISNUMBER(F670),ISNUMBER(H670)),ROUND(F670*(1+H670),2),"")</f>
        <v>19.66</v>
      </c>
      <c r="K670" s="2">
        <f>IF(AND(ISNUMBER(I670),I670&gt;0,ISNUMBER(J670)),J670/I670-1,"")</f>
        <v>0.08021978021978038</v>
      </c>
      <c r="L670" t="s">
        <v>38</v>
      </c>
      <c r="M670" s="1">
        <v>24.27</v>
      </c>
      <c r="N670" s="1">
        <f>IF(AND(ISNUMBER(U670),U670&gt;0,ISNUMBER(J670)),ROUND(J670/U670,2),"")</f>
        <v>26.21</v>
      </c>
      <c r="Q670" t="s">
        <v>40</v>
      </c>
      <c r="R670" t="s">
        <v>39</v>
      </c>
      <c r="S670">
        <v>527196</v>
      </c>
      <c r="T670">
        <v>527196</v>
      </c>
      <c r="U670" s="3">
        <v>0.75</v>
      </c>
      <c r="X670" t="s">
        <v>41</v>
      </c>
      <c r="Z670" s="1">
        <v>18.2</v>
      </c>
      <c r="AA670" s="1">
        <f>IF(AND(ISNUMBER(Z670),ISNUMBER(I670),I670&gt;0,ISNUMBER(J670)),ROUND(Z670*J670/I670,2),"")</f>
        <v>19.66</v>
      </c>
      <c r="AB670" t="s">
        <v>42</v>
      </c>
      <c r="AC670" t="s">
        <v>43</v>
      </c>
      <c r="AD670" t="s">
        <v>44</v>
      </c>
      <c r="AE670" t="s">
        <v>45</v>
      </c>
    </row>
    <row r="671">
      <c r="A671">
        <v>925431</v>
      </c>
      <c r="B671">
        <v>925431</v>
      </c>
      <c r="C671" t="s">
        <v>1054</v>
      </c>
      <c r="D671" t="s">
        <v>1047</v>
      </c>
      <c r="E671" t="s">
        <v>212</v>
      </c>
      <c r="F671" s="1">
        <v>13</v>
      </c>
      <c r="G671" s="2">
        <v>0.4</v>
      </c>
      <c r="H671" s="2">
        <v>0.512</v>
      </c>
      <c r="I671" s="1">
        <v>18.2</v>
      </c>
      <c r="J671" s="1">
        <f>IF(AND(ISNUMBER(F671),ISNUMBER(H671)),ROUND(F671*(1+H671),2),"")</f>
        <v>19.66</v>
      </c>
      <c r="K671" s="2">
        <f>IF(AND(ISNUMBER(I671),I671&gt;0,ISNUMBER(J671)),J671/I671-1,"")</f>
        <v>0.08021978021978038</v>
      </c>
      <c r="L671" t="s">
        <v>38</v>
      </c>
      <c r="M671" s="1">
        <v>24.27</v>
      </c>
      <c r="N671" s="1">
        <f>IF(AND(ISNUMBER(U671),U671&gt;0,ISNUMBER(J671)),ROUND(J671/U671,2),"")</f>
        <v>26.21</v>
      </c>
      <c r="Q671" t="s">
        <v>40</v>
      </c>
      <c r="R671" t="s">
        <v>39</v>
      </c>
      <c r="S671">
        <v>673000</v>
      </c>
      <c r="T671">
        <v>673000</v>
      </c>
      <c r="U671" s="3">
        <v>0.75</v>
      </c>
      <c r="X671" t="s">
        <v>41</v>
      </c>
      <c r="Z671" s="1">
        <v>18.2</v>
      </c>
      <c r="AA671" s="1">
        <f>IF(AND(ISNUMBER(Z671),ISNUMBER(I671),I671&gt;0,ISNUMBER(J671)),ROUND(Z671*J671/I671,2),"")</f>
        <v>19.66</v>
      </c>
      <c r="AB671" t="s">
        <v>42</v>
      </c>
      <c r="AC671" t="s">
        <v>43</v>
      </c>
      <c r="AD671" t="s">
        <v>44</v>
      </c>
      <c r="AE671" t="s">
        <v>45</v>
      </c>
    </row>
    <row r="672">
      <c r="A672">
        <v>806133</v>
      </c>
      <c r="B672">
        <v>806133</v>
      </c>
      <c r="C672" t="s">
        <v>1055</v>
      </c>
      <c r="D672" t="s">
        <v>1047</v>
      </c>
      <c r="E672" t="s">
        <v>212</v>
      </c>
      <c r="F672" s="1">
        <v>12</v>
      </c>
      <c r="G672" s="2">
        <v>0.4</v>
      </c>
      <c r="H672" s="2">
        <v>0.512</v>
      </c>
      <c r="I672" s="1">
        <v>16.8</v>
      </c>
      <c r="J672" s="1">
        <f>IF(AND(ISNUMBER(F672),ISNUMBER(H672)),ROUND(F672*(1+H672),2),"")</f>
        <v>18.14</v>
      </c>
      <c r="K672" s="2">
        <f>IF(AND(ISNUMBER(I672),I672&gt;0,ISNUMBER(J672)),J672/I672-1,"")</f>
        <v>0.0797619047619047</v>
      </c>
      <c r="L672" t="s">
        <v>38</v>
      </c>
      <c r="M672" s="1">
        <v>22.4</v>
      </c>
      <c r="N672" s="1">
        <f>IF(AND(ISNUMBER(U672),U672&gt;0,ISNUMBER(J672)),ROUND(J672/U672,2),"")</f>
        <v>24.19</v>
      </c>
      <c r="Q672" t="s">
        <v>40</v>
      </c>
      <c r="R672" t="s">
        <v>39</v>
      </c>
      <c r="S672">
        <v>527198</v>
      </c>
      <c r="T672">
        <v>527198</v>
      </c>
      <c r="U672" s="3">
        <v>0.75</v>
      </c>
      <c r="X672" t="s">
        <v>41</v>
      </c>
      <c r="Z672" s="1">
        <v>16.8</v>
      </c>
      <c r="AA672" s="1">
        <f>IF(AND(ISNUMBER(Z672),ISNUMBER(I672),I672&gt;0,ISNUMBER(J672)),ROUND(Z672*J672/I672,2),"")</f>
        <v>18.14</v>
      </c>
      <c r="AB672" t="s">
        <v>42</v>
      </c>
      <c r="AC672" t="s">
        <v>43</v>
      </c>
      <c r="AD672" t="s">
        <v>44</v>
      </c>
      <c r="AE672" t="s">
        <v>45</v>
      </c>
    </row>
    <row r="673">
      <c r="A673">
        <v>925433</v>
      </c>
      <c r="B673">
        <v>925433</v>
      </c>
      <c r="C673" t="s">
        <v>1056</v>
      </c>
      <c r="D673" t="s">
        <v>1047</v>
      </c>
      <c r="E673" t="s">
        <v>212</v>
      </c>
      <c r="F673" s="1">
        <v>12</v>
      </c>
      <c r="G673" s="2">
        <v>0.4</v>
      </c>
      <c r="H673" s="2">
        <v>0.512</v>
      </c>
      <c r="I673" s="1">
        <v>16.8</v>
      </c>
      <c r="J673" s="1">
        <f>IF(AND(ISNUMBER(F673),ISNUMBER(H673)),ROUND(F673*(1+H673),2),"")</f>
        <v>18.14</v>
      </c>
      <c r="K673" s="2">
        <f>IF(AND(ISNUMBER(I673),I673&gt;0,ISNUMBER(J673)),J673/I673-1,"")</f>
        <v>0.0797619047619047</v>
      </c>
      <c r="L673" t="s">
        <v>38</v>
      </c>
      <c r="M673" s="1">
        <v>22.4</v>
      </c>
      <c r="N673" s="1">
        <f>IF(AND(ISNUMBER(U673),U673&gt;0,ISNUMBER(J673)),ROUND(J673/U673,2),"")</f>
        <v>24.19</v>
      </c>
      <c r="Q673" t="s">
        <v>40</v>
      </c>
      <c r="R673" t="s">
        <v>39</v>
      </c>
      <c r="S673">
        <v>673002</v>
      </c>
      <c r="T673">
        <v>673002</v>
      </c>
      <c r="U673" s="3">
        <v>0.75</v>
      </c>
      <c r="X673" t="s">
        <v>41</v>
      </c>
      <c r="Z673" s="1">
        <v>16.8</v>
      </c>
      <c r="AA673" s="1">
        <f>IF(AND(ISNUMBER(Z673),ISNUMBER(I673),I673&gt;0,ISNUMBER(J673)),ROUND(Z673*J673/I673,2),"")</f>
        <v>18.14</v>
      </c>
      <c r="AB673" t="s">
        <v>42</v>
      </c>
      <c r="AC673" t="s">
        <v>43</v>
      </c>
      <c r="AD673" t="s">
        <v>44</v>
      </c>
      <c r="AE673" t="s">
        <v>45</v>
      </c>
    </row>
    <row r="674">
      <c r="A674">
        <v>1018719</v>
      </c>
      <c r="B674">
        <v>1018719</v>
      </c>
      <c r="C674" t="s">
        <v>1057</v>
      </c>
      <c r="D674" t="s">
        <v>1047</v>
      </c>
      <c r="E674" t="s">
        <v>624</v>
      </c>
      <c r="F674" s="1">
        <v>12</v>
      </c>
      <c r="G674" s="2">
        <v>0.4</v>
      </c>
      <c r="H674" s="2">
        <v>0.512</v>
      </c>
      <c r="I674" s="1">
        <v>16.8</v>
      </c>
      <c r="J674" s="1">
        <f>IF(AND(ISNUMBER(F674),ISNUMBER(H674)),ROUND(F674*(1+H674),2),"")</f>
        <v>18.14</v>
      </c>
      <c r="K674" s="2">
        <f>IF(AND(ISNUMBER(I674),I674&gt;0,ISNUMBER(J674)),J674/I674-1,"")</f>
        <v>0.0797619047619047</v>
      </c>
      <c r="L674" t="s">
        <v>38</v>
      </c>
      <c r="M674" s="1">
        <v>22.4</v>
      </c>
      <c r="N674" s="1">
        <f>IF(AND(ISNUMBER(U674),U674&gt;0,ISNUMBER(J674)),ROUND(J674/U674,2),"")</f>
        <v>24.19</v>
      </c>
      <c r="Q674" t="s">
        <v>40</v>
      </c>
      <c r="R674" t="s">
        <v>39</v>
      </c>
      <c r="S674">
        <v>804433</v>
      </c>
      <c r="T674">
        <v>804433</v>
      </c>
      <c r="U674" s="3">
        <v>0.75</v>
      </c>
      <c r="X674" t="s">
        <v>41</v>
      </c>
      <c r="Z674" s="1">
        <v>16.8</v>
      </c>
      <c r="AA674" s="1">
        <f>IF(AND(ISNUMBER(Z674),ISNUMBER(I674),I674&gt;0,ISNUMBER(J674)),ROUND(Z674*J674/I674,2),"")</f>
        <v>18.14</v>
      </c>
      <c r="AB674" t="s">
        <v>42</v>
      </c>
      <c r="AC674" t="s">
        <v>43</v>
      </c>
      <c r="AD674" t="s">
        <v>48</v>
      </c>
      <c r="AE674" t="s">
        <v>45</v>
      </c>
    </row>
    <row r="675">
      <c r="A675">
        <v>1018720</v>
      </c>
      <c r="B675">
        <v>1018720</v>
      </c>
      <c r="C675" t="s">
        <v>1058</v>
      </c>
      <c r="D675" t="s">
        <v>1047</v>
      </c>
      <c r="E675" t="s">
        <v>624</v>
      </c>
      <c r="F675" s="1">
        <v>12</v>
      </c>
      <c r="G675" s="2">
        <v>0.4</v>
      </c>
      <c r="H675" s="2">
        <v>0.512</v>
      </c>
      <c r="I675" s="1">
        <v>16.8</v>
      </c>
      <c r="J675" s="1">
        <f>IF(AND(ISNUMBER(F675),ISNUMBER(H675)),ROUND(F675*(1+H675),2),"")</f>
        <v>18.14</v>
      </c>
      <c r="K675" s="2">
        <f>IF(AND(ISNUMBER(I675),I675&gt;0,ISNUMBER(J675)),J675/I675-1,"")</f>
        <v>0.0797619047619047</v>
      </c>
      <c r="L675" t="s">
        <v>38</v>
      </c>
      <c r="M675" s="1">
        <v>22.4</v>
      </c>
      <c r="N675" s="1">
        <f>IF(AND(ISNUMBER(U675),U675&gt;0,ISNUMBER(J675)),ROUND(J675/U675,2),"")</f>
        <v>24.19</v>
      </c>
      <c r="Q675" t="s">
        <v>40</v>
      </c>
      <c r="R675" t="s">
        <v>39</v>
      </c>
      <c r="S675">
        <v>804434</v>
      </c>
      <c r="T675">
        <v>804434</v>
      </c>
      <c r="U675" s="3">
        <v>0.75</v>
      </c>
      <c r="X675" t="s">
        <v>41</v>
      </c>
      <c r="Z675" s="1">
        <v>16.8</v>
      </c>
      <c r="AA675" s="1">
        <f>IF(AND(ISNUMBER(Z675),ISNUMBER(I675),I675&gt;0,ISNUMBER(J675)),ROUND(Z675*J675/I675,2),"")</f>
        <v>18.14</v>
      </c>
      <c r="AB675" t="s">
        <v>42</v>
      </c>
      <c r="AC675" t="s">
        <v>43</v>
      </c>
      <c r="AD675" t="s">
        <v>48</v>
      </c>
      <c r="AE675" t="s">
        <v>45</v>
      </c>
    </row>
    <row r="676">
      <c r="A676">
        <v>806024</v>
      </c>
      <c r="B676">
        <v>806024</v>
      </c>
      <c r="C676" t="s">
        <v>1059</v>
      </c>
      <c r="D676" t="s">
        <v>1060</v>
      </c>
      <c r="E676" t="s">
        <v>96</v>
      </c>
      <c r="F676" s="1">
        <v>6.5</v>
      </c>
      <c r="G676" s="2">
        <v>0.4</v>
      </c>
      <c r="H676" s="2">
        <v>0.512</v>
      </c>
      <c r="I676" s="1">
        <v>9.1</v>
      </c>
      <c r="J676" s="1">
        <f>IF(AND(ISNUMBER(F676),ISNUMBER(H676)),ROUND(F676*(1+H676),2),"")</f>
        <v>9.83</v>
      </c>
      <c r="K676" s="2">
        <f>IF(AND(ISNUMBER(I676),I676&gt;0,ISNUMBER(J676)),J676/I676-1,"")</f>
        <v>0.08021978021978038</v>
      </c>
      <c r="L676" t="s">
        <v>38</v>
      </c>
      <c r="N676" s="1" t="s">
        <f>IF(AND(ISNUMBER(U676),U676&gt;0,ISNUMBER(J676)),ROUND(J676/U676,2),"")</f>
        <v>39</v>
      </c>
      <c r="Q676" t="s">
        <v>40</v>
      </c>
      <c r="R676" t="s">
        <v>39</v>
      </c>
      <c r="S676">
        <v>527086</v>
      </c>
      <c r="T676">
        <v>527086</v>
      </c>
      <c r="X676" t="s">
        <v>41</v>
      </c>
      <c r="Z676" s="1">
        <v>9.1</v>
      </c>
      <c r="AA676" s="1">
        <f>IF(AND(ISNUMBER(Z676),ISNUMBER(I676),I676&gt;0,ISNUMBER(J676)),ROUND(Z676*J676/I676,2),"")</f>
        <v>9.83</v>
      </c>
      <c r="AB676" t="s">
        <v>42</v>
      </c>
      <c r="AC676" t="s">
        <v>43</v>
      </c>
      <c r="AD676" t="s">
        <v>44</v>
      </c>
      <c r="AE676" t="s">
        <v>45</v>
      </c>
    </row>
    <row r="677">
      <c r="A677">
        <v>806026</v>
      </c>
      <c r="B677">
        <v>806026</v>
      </c>
      <c r="C677" t="s">
        <v>1061</v>
      </c>
      <c r="D677" t="s">
        <v>1060</v>
      </c>
      <c r="E677" t="s">
        <v>96</v>
      </c>
      <c r="F677" s="1">
        <v>6.5</v>
      </c>
      <c r="G677" s="2">
        <v>0.4</v>
      </c>
      <c r="H677" s="2">
        <v>0.512</v>
      </c>
      <c r="I677" s="1">
        <v>9.1</v>
      </c>
      <c r="J677" s="1">
        <f>IF(AND(ISNUMBER(F677),ISNUMBER(H677)),ROUND(F677*(1+H677),2),"")</f>
        <v>9.83</v>
      </c>
      <c r="K677" s="2">
        <f>IF(AND(ISNUMBER(I677),I677&gt;0,ISNUMBER(J677)),J677/I677-1,"")</f>
        <v>0.08021978021978038</v>
      </c>
      <c r="L677" t="s">
        <v>38</v>
      </c>
      <c r="N677" s="1" t="s">
        <f>IF(AND(ISNUMBER(U677),U677&gt;0,ISNUMBER(J677)),ROUND(J677/U677,2),"")</f>
        <v>39</v>
      </c>
      <c r="Q677" t="s">
        <v>40</v>
      </c>
      <c r="R677" t="s">
        <v>39</v>
      </c>
      <c r="S677">
        <v>527088</v>
      </c>
      <c r="T677">
        <v>527088</v>
      </c>
      <c r="X677" t="s">
        <v>41</v>
      </c>
      <c r="Z677" s="1">
        <v>9.1</v>
      </c>
      <c r="AA677" s="1">
        <f>IF(AND(ISNUMBER(Z677),ISNUMBER(I677),I677&gt;0,ISNUMBER(J677)),ROUND(Z677*J677/I677,2),"")</f>
        <v>9.83</v>
      </c>
      <c r="AB677" t="s">
        <v>42</v>
      </c>
      <c r="AC677" t="s">
        <v>43</v>
      </c>
      <c r="AD677" t="s">
        <v>44</v>
      </c>
      <c r="AE677" t="s">
        <v>45</v>
      </c>
    </row>
    <row r="678">
      <c r="A678">
        <v>806029</v>
      </c>
      <c r="B678">
        <v>806029</v>
      </c>
      <c r="C678" t="s">
        <v>1062</v>
      </c>
      <c r="D678" t="s">
        <v>1060</v>
      </c>
      <c r="E678" t="s">
        <v>96</v>
      </c>
      <c r="F678" s="1">
        <v>6.5</v>
      </c>
      <c r="G678" s="2">
        <v>0.4</v>
      </c>
      <c r="H678" s="2">
        <v>0.512</v>
      </c>
      <c r="I678" s="1">
        <v>9.1</v>
      </c>
      <c r="J678" s="1">
        <f>IF(AND(ISNUMBER(F678),ISNUMBER(H678)),ROUND(F678*(1+H678),2),"")</f>
        <v>9.83</v>
      </c>
      <c r="K678" s="2">
        <f>IF(AND(ISNUMBER(I678),I678&gt;0,ISNUMBER(J678)),J678/I678-1,"")</f>
        <v>0.08021978021978038</v>
      </c>
      <c r="L678" t="s">
        <v>38</v>
      </c>
      <c r="N678" s="1" t="s">
        <f>IF(AND(ISNUMBER(U678),U678&gt;0,ISNUMBER(J678)),ROUND(J678/U678,2),"")</f>
        <v>39</v>
      </c>
      <c r="Q678" t="s">
        <v>40</v>
      </c>
      <c r="R678" t="s">
        <v>39</v>
      </c>
      <c r="S678">
        <v>527091</v>
      </c>
      <c r="T678">
        <v>527091</v>
      </c>
      <c r="X678" t="s">
        <v>41</v>
      </c>
      <c r="Z678" s="1">
        <v>9.1</v>
      </c>
      <c r="AA678" s="1">
        <f>IF(AND(ISNUMBER(Z678),ISNUMBER(I678),I678&gt;0,ISNUMBER(J678)),ROUND(Z678*J678/I678,2),"")</f>
        <v>9.83</v>
      </c>
      <c r="AB678" t="s">
        <v>42</v>
      </c>
      <c r="AC678" t="s">
        <v>43</v>
      </c>
      <c r="AD678" t="s">
        <v>44</v>
      </c>
      <c r="AE678" t="s">
        <v>45</v>
      </c>
    </row>
    <row r="679">
      <c r="A679">
        <v>806033</v>
      </c>
      <c r="B679">
        <v>806033</v>
      </c>
      <c r="C679" t="s">
        <v>1063</v>
      </c>
      <c r="D679" t="s">
        <v>1060</v>
      </c>
      <c r="E679" t="s">
        <v>96</v>
      </c>
      <c r="F679" s="1">
        <v>6.25</v>
      </c>
      <c r="G679" s="2">
        <v>0.4</v>
      </c>
      <c r="H679" s="2">
        <v>0.512</v>
      </c>
      <c r="I679" s="1">
        <v>8.75</v>
      </c>
      <c r="J679" s="1">
        <f>IF(AND(ISNUMBER(F679),ISNUMBER(H679)),ROUND(F679*(1+H679),2),"")</f>
        <v>9.45</v>
      </c>
      <c r="K679" s="2">
        <f>IF(AND(ISNUMBER(I679),I679&gt;0,ISNUMBER(J679)),J679/I679-1,"")</f>
        <v>0.07999999999999985</v>
      </c>
      <c r="L679" t="s">
        <v>38</v>
      </c>
      <c r="N679" s="1" t="s">
        <f>IF(AND(ISNUMBER(U679),U679&gt;0,ISNUMBER(J679)),ROUND(J679/U679,2),"")</f>
        <v>39</v>
      </c>
      <c r="Q679" t="s">
        <v>40</v>
      </c>
      <c r="R679" t="s">
        <v>39</v>
      </c>
      <c r="S679">
        <v>527095</v>
      </c>
      <c r="T679">
        <v>527095</v>
      </c>
      <c r="X679" t="s">
        <v>41</v>
      </c>
      <c r="Z679" s="1">
        <v>8.75</v>
      </c>
      <c r="AA679" s="1">
        <f>IF(AND(ISNUMBER(Z679),ISNUMBER(I679),I679&gt;0,ISNUMBER(J679)),ROUND(Z679*J679/I679,2),"")</f>
        <v>9.45</v>
      </c>
      <c r="AB679" t="s">
        <v>42</v>
      </c>
      <c r="AC679" t="s">
        <v>43</v>
      </c>
      <c r="AD679" t="s">
        <v>44</v>
      </c>
      <c r="AE679" t="s">
        <v>45</v>
      </c>
    </row>
    <row r="680">
      <c r="A680">
        <v>806037</v>
      </c>
      <c r="B680">
        <v>806037</v>
      </c>
      <c r="C680" t="s">
        <v>1064</v>
      </c>
      <c r="D680" t="s">
        <v>1060</v>
      </c>
      <c r="E680" t="s">
        <v>96</v>
      </c>
      <c r="F680" s="1">
        <v>6.25</v>
      </c>
      <c r="G680" s="2">
        <v>0.4</v>
      </c>
      <c r="H680" s="2">
        <v>0.512</v>
      </c>
      <c r="I680" s="1">
        <v>8.75</v>
      </c>
      <c r="J680" s="1">
        <f>IF(AND(ISNUMBER(F680),ISNUMBER(H680)),ROUND(F680*(1+H680),2),"")</f>
        <v>9.45</v>
      </c>
      <c r="K680" s="2">
        <f>IF(AND(ISNUMBER(I680),I680&gt;0,ISNUMBER(J680)),J680/I680-1,"")</f>
        <v>0.07999999999999985</v>
      </c>
      <c r="L680" t="s">
        <v>38</v>
      </c>
      <c r="N680" s="1" t="s">
        <f>IF(AND(ISNUMBER(U680),U680&gt;0,ISNUMBER(J680)),ROUND(J680/U680,2),"")</f>
        <v>39</v>
      </c>
      <c r="Q680" t="s">
        <v>40</v>
      </c>
      <c r="R680" t="s">
        <v>39</v>
      </c>
      <c r="S680">
        <v>527099</v>
      </c>
      <c r="T680">
        <v>527099</v>
      </c>
      <c r="X680" t="s">
        <v>41</v>
      </c>
      <c r="Z680" s="1">
        <v>8.75</v>
      </c>
      <c r="AA680" s="1">
        <f>IF(AND(ISNUMBER(Z680),ISNUMBER(I680),I680&gt;0,ISNUMBER(J680)),ROUND(Z680*J680/I680,2),"")</f>
        <v>9.45</v>
      </c>
      <c r="AB680" t="s">
        <v>42</v>
      </c>
      <c r="AC680" t="s">
        <v>43</v>
      </c>
      <c r="AD680" t="s">
        <v>44</v>
      </c>
      <c r="AE680" t="s">
        <v>45</v>
      </c>
    </row>
    <row r="681">
      <c r="A681">
        <v>901489</v>
      </c>
      <c r="B681">
        <v>901489</v>
      </c>
      <c r="C681" t="s">
        <v>1065</v>
      </c>
      <c r="D681" t="s">
        <v>1066</v>
      </c>
      <c r="E681" t="s">
        <v>100</v>
      </c>
      <c r="F681" s="1">
        <v>3.5</v>
      </c>
      <c r="G681" s="2">
        <v>0.4</v>
      </c>
      <c r="H681" s="2">
        <v>0.512</v>
      </c>
      <c r="I681" s="1">
        <v>4.9</v>
      </c>
      <c r="J681" s="1">
        <f>IF(AND(ISNUMBER(F681),ISNUMBER(H681)),ROUND(F681*(1+H681),2),"")</f>
        <v>5.29</v>
      </c>
      <c r="K681" s="2">
        <f>IF(AND(ISNUMBER(I681),I681&gt;0,ISNUMBER(J681)),J681/I681-1,"")</f>
        <v>0.07959183673469372</v>
      </c>
      <c r="L681" t="s">
        <v>38</v>
      </c>
      <c r="M681" s="1">
        <v>4.9</v>
      </c>
      <c r="N681" s="1">
        <f>IF(AND(ISNUMBER(U681),U681&gt;0,ISNUMBER(J681)),ROUND(J681/U681,2),"")</f>
        <v>5.29</v>
      </c>
      <c r="Q681" t="s">
        <v>40</v>
      </c>
      <c r="R681" t="s">
        <v>39</v>
      </c>
      <c r="S681">
        <v>643775</v>
      </c>
      <c r="T681">
        <v>643775</v>
      </c>
      <c r="U681" s="3">
        <v>1</v>
      </c>
      <c r="X681" t="s">
        <v>41</v>
      </c>
      <c r="Z681" s="1">
        <v>4.9</v>
      </c>
      <c r="AA681" s="1">
        <f>IF(AND(ISNUMBER(Z681),ISNUMBER(I681),I681&gt;0,ISNUMBER(J681)),ROUND(Z681*J681/I681,2),"")</f>
        <v>5.29</v>
      </c>
      <c r="AB681" t="s">
        <v>42</v>
      </c>
      <c r="AC681" t="s">
        <v>43</v>
      </c>
      <c r="AD681" t="s">
        <v>48</v>
      </c>
      <c r="AE681" t="s">
        <v>45</v>
      </c>
    </row>
    <row r="682">
      <c r="A682">
        <v>973114</v>
      </c>
      <c r="B682">
        <v>973114</v>
      </c>
      <c r="C682" t="s">
        <v>1067</v>
      </c>
      <c r="D682" t="s">
        <v>1066</v>
      </c>
      <c r="E682" t="s">
        <v>147</v>
      </c>
      <c r="F682" s="1">
        <v>4.25</v>
      </c>
      <c r="G682" s="2">
        <v>0.4</v>
      </c>
      <c r="H682" s="2">
        <v>0.512</v>
      </c>
      <c r="I682" s="1">
        <v>5.95</v>
      </c>
      <c r="J682" s="1">
        <f>IF(AND(ISNUMBER(F682),ISNUMBER(H682)),ROUND(F682*(1+H682),2),"")</f>
        <v>6.43</v>
      </c>
      <c r="K682" s="2">
        <f>IF(AND(ISNUMBER(I682),I682&gt;0,ISNUMBER(J682)),J682/I682-1,"")</f>
        <v>0.08067226890756296</v>
      </c>
      <c r="L682" t="s">
        <v>38</v>
      </c>
      <c r="M682" s="1">
        <v>11.9</v>
      </c>
      <c r="N682" s="1">
        <f>IF(AND(ISNUMBER(U682),U682&gt;0,ISNUMBER(J682)),ROUND(J682/U682,2),"")</f>
        <v>12.86</v>
      </c>
      <c r="Q682" t="s">
        <v>40</v>
      </c>
      <c r="R682" t="s">
        <v>39</v>
      </c>
      <c r="S682">
        <v>737954</v>
      </c>
      <c r="T682">
        <v>737954</v>
      </c>
      <c r="U682" s="3">
        <v>0.5</v>
      </c>
      <c r="X682" t="s">
        <v>41</v>
      </c>
      <c r="Z682" s="1">
        <v>5.95</v>
      </c>
      <c r="AA682" s="1">
        <f>IF(AND(ISNUMBER(Z682),ISNUMBER(I682),I682&gt;0,ISNUMBER(J682)),ROUND(Z682*J682/I682,2),"")</f>
        <v>6.43</v>
      </c>
      <c r="AB682" t="s">
        <v>42</v>
      </c>
      <c r="AC682" t="s">
        <v>43</v>
      </c>
      <c r="AD682" t="s">
        <v>44</v>
      </c>
      <c r="AE682" t="s">
        <v>45</v>
      </c>
    </row>
    <row r="683">
      <c r="A683">
        <v>879550</v>
      </c>
      <c r="B683">
        <v>879550</v>
      </c>
      <c r="C683" t="s">
        <v>795</v>
      </c>
      <c r="D683" t="s">
        <v>1066</v>
      </c>
      <c r="E683" t="s">
        <v>732</v>
      </c>
      <c r="F683" s="1">
        <v>2</v>
      </c>
      <c r="G683" s="2">
        <v>0.4</v>
      </c>
      <c r="H683" s="2">
        <v>0.512</v>
      </c>
      <c r="I683" s="1">
        <v>2.8</v>
      </c>
      <c r="J683" s="1">
        <f>IF(AND(ISNUMBER(F683),ISNUMBER(H683)),ROUND(F683*(1+H683),2),"")</f>
        <v>3.02</v>
      </c>
      <c r="K683" s="2">
        <f>IF(AND(ISNUMBER(I683),I683&gt;0,ISNUMBER(J683)),J683/I683-1,"")</f>
        <v>0.07857142857142874</v>
      </c>
      <c r="L683" t="s">
        <v>38</v>
      </c>
      <c r="N683" s="1" t="s">
        <f>IF(AND(ISNUMBER(U683),U683&gt;0,ISNUMBER(J683)),ROUND(J683/U683,2),"")</f>
        <v>39</v>
      </c>
      <c r="Q683" t="s">
        <v>40</v>
      </c>
      <c r="R683" t="s">
        <v>39</v>
      </c>
      <c r="S683">
        <v>615271</v>
      </c>
      <c r="T683">
        <v>615271</v>
      </c>
      <c r="X683" t="s">
        <v>41</v>
      </c>
      <c r="Z683" s="1">
        <v>2.8</v>
      </c>
      <c r="AA683" s="1">
        <f>IF(AND(ISNUMBER(Z683),ISNUMBER(I683),I683&gt;0,ISNUMBER(J683)),ROUND(Z683*J683/I683,2),"")</f>
        <v>3.02</v>
      </c>
      <c r="AB683" t="s">
        <v>42</v>
      </c>
      <c r="AC683" t="s">
        <v>43</v>
      </c>
      <c r="AD683" t="s">
        <v>48</v>
      </c>
      <c r="AE683" t="s">
        <v>45</v>
      </c>
    </row>
    <row r="684">
      <c r="A684">
        <v>879549</v>
      </c>
      <c r="B684">
        <v>879549</v>
      </c>
      <c r="C684" t="s">
        <v>1068</v>
      </c>
      <c r="D684" t="s">
        <v>1066</v>
      </c>
      <c r="E684" t="s">
        <v>153</v>
      </c>
      <c r="F684" s="1">
        <v>4</v>
      </c>
      <c r="G684" s="2">
        <v>0.4</v>
      </c>
      <c r="H684" s="2">
        <v>0.512</v>
      </c>
      <c r="I684" s="1">
        <v>5.6</v>
      </c>
      <c r="J684" s="1">
        <f>IF(AND(ISNUMBER(F684),ISNUMBER(H684)),ROUND(F684*(1+H684),2),"")</f>
        <v>6.05</v>
      </c>
      <c r="K684" s="2">
        <f>IF(AND(ISNUMBER(I684),I684&gt;0,ISNUMBER(J684)),J684/I684-1,"")</f>
        <v>0.0803571428571428</v>
      </c>
      <c r="L684" t="s">
        <v>38</v>
      </c>
      <c r="M684" s="1">
        <v>11.2</v>
      </c>
      <c r="N684" s="1">
        <f>IF(AND(ISNUMBER(U684),U684&gt;0,ISNUMBER(J684)),ROUND(J684/U684,2),"")</f>
        <v>12.1</v>
      </c>
      <c r="Q684" t="s">
        <v>40</v>
      </c>
      <c r="R684" t="s">
        <v>39</v>
      </c>
      <c r="S684">
        <v>615270</v>
      </c>
      <c r="T684">
        <v>615270</v>
      </c>
      <c r="U684" s="3">
        <v>0.5</v>
      </c>
      <c r="X684" t="s">
        <v>41</v>
      </c>
      <c r="Z684" s="1">
        <v>5.6</v>
      </c>
      <c r="AA684" s="1">
        <f>IF(AND(ISNUMBER(Z684),ISNUMBER(I684),I684&gt;0,ISNUMBER(J684)),ROUND(Z684*J684/I684,2),"")</f>
        <v>6.05</v>
      </c>
      <c r="AB684" t="s">
        <v>42</v>
      </c>
      <c r="AC684" t="s">
        <v>43</v>
      </c>
      <c r="AD684" t="s">
        <v>48</v>
      </c>
      <c r="AE684" t="s">
        <v>45</v>
      </c>
    </row>
    <row r="685">
      <c r="A685">
        <v>906535</v>
      </c>
      <c r="B685">
        <v>906535</v>
      </c>
      <c r="C685" t="s">
        <v>1069</v>
      </c>
      <c r="D685" t="s">
        <v>1066</v>
      </c>
      <c r="E685" t="s">
        <v>63</v>
      </c>
      <c r="F685" s="1">
        <v>2</v>
      </c>
      <c r="G685" s="2">
        <v>0.4</v>
      </c>
      <c r="H685" s="2">
        <v>0.512</v>
      </c>
      <c r="I685" s="1">
        <v>2.8</v>
      </c>
      <c r="J685" s="1">
        <f>IF(AND(ISNUMBER(F685),ISNUMBER(H685)),ROUND(F685*(1+H685),2),"")</f>
        <v>3.02</v>
      </c>
      <c r="K685" s="2">
        <f>IF(AND(ISNUMBER(I685),I685&gt;0,ISNUMBER(J685)),J685/I685-1,"")</f>
        <v>0.07857142857142874</v>
      </c>
      <c r="L685" t="s">
        <v>38</v>
      </c>
      <c r="N685" s="1" t="s">
        <f>IF(AND(ISNUMBER(U685),U685&gt;0,ISNUMBER(J685)),ROUND(J685/U685,2),"")</f>
        <v>39</v>
      </c>
      <c r="Q685" t="s">
        <v>40</v>
      </c>
      <c r="R685" t="s">
        <v>39</v>
      </c>
      <c r="S685">
        <v>650561</v>
      </c>
      <c r="T685">
        <v>650561</v>
      </c>
      <c r="X685" t="s">
        <v>41</v>
      </c>
      <c r="Z685" s="1">
        <v>2.8</v>
      </c>
      <c r="AA685" s="1">
        <f>IF(AND(ISNUMBER(Z685),ISNUMBER(I685),I685&gt;0,ISNUMBER(J685)),ROUND(Z685*J685/I685,2),"")</f>
        <v>3.02</v>
      </c>
      <c r="AB685" t="s">
        <v>42</v>
      </c>
      <c r="AC685" t="s">
        <v>43</v>
      </c>
      <c r="AD685" t="s">
        <v>48</v>
      </c>
      <c r="AE685" t="s">
        <v>45</v>
      </c>
    </row>
    <row r="686">
      <c r="A686">
        <v>906534</v>
      </c>
      <c r="B686">
        <v>906534</v>
      </c>
      <c r="C686" t="s">
        <v>1070</v>
      </c>
      <c r="D686" t="s">
        <v>1066</v>
      </c>
      <c r="E686" t="s">
        <v>147</v>
      </c>
      <c r="F686" s="1">
        <v>3.5</v>
      </c>
      <c r="G686" s="2">
        <v>0.4</v>
      </c>
      <c r="H686" s="2">
        <v>0.512</v>
      </c>
      <c r="I686" s="1">
        <v>4.9</v>
      </c>
      <c r="J686" s="1">
        <f>IF(AND(ISNUMBER(F686),ISNUMBER(H686)),ROUND(F686*(1+H686),2),"")</f>
        <v>5.29</v>
      </c>
      <c r="K686" s="2">
        <f>IF(AND(ISNUMBER(I686),I686&gt;0,ISNUMBER(J686)),J686/I686-1,"")</f>
        <v>0.07959183673469372</v>
      </c>
      <c r="L686" t="s">
        <v>38</v>
      </c>
      <c r="M686" s="1">
        <v>9.8</v>
      </c>
      <c r="N686" s="1">
        <f>IF(AND(ISNUMBER(U686),U686&gt;0,ISNUMBER(J686)),ROUND(J686/U686,2),"")</f>
        <v>10.58</v>
      </c>
      <c r="Q686" t="s">
        <v>40</v>
      </c>
      <c r="R686" t="s">
        <v>39</v>
      </c>
      <c r="S686">
        <v>650560</v>
      </c>
      <c r="T686">
        <v>650560</v>
      </c>
      <c r="U686" s="3">
        <v>0.5</v>
      </c>
      <c r="X686" t="s">
        <v>41</v>
      </c>
      <c r="Z686" s="1">
        <v>4.9</v>
      </c>
      <c r="AA686" s="1">
        <f>IF(AND(ISNUMBER(Z686),ISNUMBER(I686),I686&gt;0,ISNUMBER(J686)),ROUND(Z686*J686/I686,2),"")</f>
        <v>5.29</v>
      </c>
      <c r="AB686" t="s">
        <v>42</v>
      </c>
      <c r="AC686" t="s">
        <v>43</v>
      </c>
      <c r="AD686" t="s">
        <v>48</v>
      </c>
      <c r="AE686" t="s">
        <v>45</v>
      </c>
    </row>
    <row r="687">
      <c r="A687">
        <v>805956</v>
      </c>
      <c r="B687">
        <v>805956</v>
      </c>
      <c r="C687" t="s">
        <v>1071</v>
      </c>
      <c r="D687" t="s">
        <v>1066</v>
      </c>
      <c r="E687" t="s">
        <v>153</v>
      </c>
      <c r="F687" s="1">
        <v>4</v>
      </c>
      <c r="G687" s="2">
        <v>0.4</v>
      </c>
      <c r="H687" s="2">
        <v>0.512</v>
      </c>
      <c r="I687" s="1">
        <v>5.6</v>
      </c>
      <c r="J687" s="1">
        <f>IF(AND(ISNUMBER(F687),ISNUMBER(H687)),ROUND(F687*(1+H687),2),"")</f>
        <v>6.05</v>
      </c>
      <c r="K687" s="2">
        <f>IF(AND(ISNUMBER(I687),I687&gt;0,ISNUMBER(J687)),J687/I687-1,"")</f>
        <v>0.0803571428571428</v>
      </c>
      <c r="L687" t="s">
        <v>38</v>
      </c>
      <c r="M687" s="1">
        <v>11.2</v>
      </c>
      <c r="N687" s="1">
        <f>IF(AND(ISNUMBER(U687),U687&gt;0,ISNUMBER(J687)),ROUND(J687/U687,2),"")</f>
        <v>12.1</v>
      </c>
      <c r="Q687" t="s">
        <v>40</v>
      </c>
      <c r="R687" t="s">
        <v>39</v>
      </c>
      <c r="S687">
        <v>527016</v>
      </c>
      <c r="T687">
        <v>527016</v>
      </c>
      <c r="U687" s="3">
        <v>0.5</v>
      </c>
      <c r="X687" t="s">
        <v>41</v>
      </c>
      <c r="Z687" s="1">
        <v>5.6</v>
      </c>
      <c r="AA687" s="1">
        <f>IF(AND(ISNUMBER(Z687),ISNUMBER(I687),I687&gt;0,ISNUMBER(J687)),ROUND(Z687*J687/I687,2),"")</f>
        <v>6.05</v>
      </c>
      <c r="AB687" t="s">
        <v>42</v>
      </c>
      <c r="AC687" t="s">
        <v>43</v>
      </c>
      <c r="AD687" t="s">
        <v>48</v>
      </c>
      <c r="AE687" t="s">
        <v>45</v>
      </c>
    </row>
    <row r="688">
      <c r="A688">
        <v>906533</v>
      </c>
      <c r="B688">
        <v>906533</v>
      </c>
      <c r="C688" t="s">
        <v>1072</v>
      </c>
      <c r="D688" t="s">
        <v>1066</v>
      </c>
      <c r="E688" t="s">
        <v>153</v>
      </c>
      <c r="F688" s="1">
        <v>4.25</v>
      </c>
      <c r="G688" s="2">
        <v>0.4</v>
      </c>
      <c r="H688" s="2">
        <v>0.512</v>
      </c>
      <c r="I688" s="1">
        <v>5.95</v>
      </c>
      <c r="J688" s="1">
        <f>IF(AND(ISNUMBER(F688),ISNUMBER(H688)),ROUND(F688*(1+H688),2),"")</f>
        <v>6.43</v>
      </c>
      <c r="K688" s="2">
        <f>IF(AND(ISNUMBER(I688),I688&gt;0,ISNUMBER(J688)),J688/I688-1,"")</f>
        <v>0.08067226890756296</v>
      </c>
      <c r="L688" t="s">
        <v>38</v>
      </c>
      <c r="M688" s="1">
        <v>11.9</v>
      </c>
      <c r="N688" s="1">
        <f>IF(AND(ISNUMBER(U688),U688&gt;0,ISNUMBER(J688)),ROUND(J688/U688,2),"")</f>
        <v>12.86</v>
      </c>
      <c r="Q688" t="s">
        <v>40</v>
      </c>
      <c r="R688" t="s">
        <v>39</v>
      </c>
      <c r="S688">
        <v>650559</v>
      </c>
      <c r="T688">
        <v>650559</v>
      </c>
      <c r="U688" s="3">
        <v>0.5</v>
      </c>
      <c r="X688" t="s">
        <v>41</v>
      </c>
      <c r="Z688" s="1">
        <v>5.95</v>
      </c>
      <c r="AA688" s="1">
        <f>IF(AND(ISNUMBER(Z688),ISNUMBER(I688),I688&gt;0,ISNUMBER(J688)),ROUND(Z688*J688/I688,2),"")</f>
        <v>6.43</v>
      </c>
      <c r="AB688" t="s">
        <v>42</v>
      </c>
      <c r="AC688" t="s">
        <v>43</v>
      </c>
      <c r="AD688" t="s">
        <v>44</v>
      </c>
      <c r="AE688" t="s">
        <v>45</v>
      </c>
    </row>
    <row r="689">
      <c r="A689">
        <v>805942</v>
      </c>
      <c r="B689">
        <v>805942</v>
      </c>
      <c r="C689" t="s">
        <v>1073</v>
      </c>
      <c r="D689" t="s">
        <v>1066</v>
      </c>
      <c r="E689" t="s">
        <v>100</v>
      </c>
      <c r="F689" s="1">
        <v>1.5</v>
      </c>
      <c r="G689" s="2">
        <v>0.4</v>
      </c>
      <c r="H689" s="2">
        <v>0.512</v>
      </c>
      <c r="I689" s="1">
        <v>2.1</v>
      </c>
      <c r="J689" s="1">
        <f>IF(AND(ISNUMBER(F689),ISNUMBER(H689)),ROUND(F689*(1+H689),2),"")</f>
        <v>2.27</v>
      </c>
      <c r="K689" s="2">
        <f>IF(AND(ISNUMBER(I689),I689&gt;0,ISNUMBER(J689)),J689/I689-1,"")</f>
        <v>0.08095238095238089</v>
      </c>
      <c r="L689" t="s">
        <v>38</v>
      </c>
      <c r="M689" s="1">
        <v>2.1</v>
      </c>
      <c r="N689" s="1">
        <f>IF(AND(ISNUMBER(U689),U689&gt;0,ISNUMBER(J689)),ROUND(J689/U689,2),"")</f>
        <v>2.27</v>
      </c>
      <c r="Q689" t="s">
        <v>40</v>
      </c>
      <c r="R689" t="s">
        <v>39</v>
      </c>
      <c r="S689">
        <v>527002</v>
      </c>
      <c r="T689">
        <v>527002</v>
      </c>
      <c r="U689" s="3">
        <v>1</v>
      </c>
      <c r="X689" t="s">
        <v>41</v>
      </c>
      <c r="Z689" s="1">
        <v>2.1</v>
      </c>
      <c r="AA689" s="1">
        <f>IF(AND(ISNUMBER(Z689),ISNUMBER(I689),I689&gt;0,ISNUMBER(J689)),ROUND(Z689*J689/I689,2),"")</f>
        <v>2.27</v>
      </c>
      <c r="AB689" t="s">
        <v>42</v>
      </c>
      <c r="AC689" t="s">
        <v>43</v>
      </c>
      <c r="AD689" t="s">
        <v>48</v>
      </c>
      <c r="AE689" t="s">
        <v>45</v>
      </c>
    </row>
    <row r="690">
      <c r="A690">
        <v>805993</v>
      </c>
      <c r="B690">
        <v>805993</v>
      </c>
      <c r="C690" t="s">
        <v>1074</v>
      </c>
      <c r="D690" t="s">
        <v>1066</v>
      </c>
      <c r="E690" t="s">
        <v>96</v>
      </c>
      <c r="F690" s="1">
        <v>2</v>
      </c>
      <c r="G690" s="2">
        <v>0.4</v>
      </c>
      <c r="H690" s="2">
        <v>0.512</v>
      </c>
      <c r="I690" s="1">
        <v>2.8</v>
      </c>
      <c r="J690" s="1">
        <f>IF(AND(ISNUMBER(F690),ISNUMBER(H690)),ROUND(F690*(1+H690),2),"")</f>
        <v>3.02</v>
      </c>
      <c r="K690" s="2">
        <f>IF(AND(ISNUMBER(I690),I690&gt;0,ISNUMBER(J690)),J690/I690-1,"")</f>
        <v>0.07857142857142874</v>
      </c>
      <c r="L690" t="s">
        <v>38</v>
      </c>
      <c r="N690" s="1" t="s">
        <f>IF(AND(ISNUMBER(U690),U690&gt;0,ISNUMBER(J690)),ROUND(J690/U690,2),"")</f>
        <v>39</v>
      </c>
      <c r="Q690" t="s">
        <v>40</v>
      </c>
      <c r="R690" t="s">
        <v>39</v>
      </c>
      <c r="S690">
        <v>527053</v>
      </c>
      <c r="T690">
        <v>527053</v>
      </c>
      <c r="X690" t="s">
        <v>41</v>
      </c>
      <c r="Z690" s="1">
        <v>2.8</v>
      </c>
      <c r="AA690" s="1">
        <f>IF(AND(ISNUMBER(Z690),ISNUMBER(I690),I690&gt;0,ISNUMBER(J690)),ROUND(Z690*J690/I690,2),"")</f>
        <v>3.02</v>
      </c>
      <c r="AB690" t="s">
        <v>42</v>
      </c>
      <c r="AC690" t="s">
        <v>43</v>
      </c>
      <c r="AD690" t="s">
        <v>48</v>
      </c>
      <c r="AE690" t="s">
        <v>45</v>
      </c>
    </row>
    <row r="691">
      <c r="A691">
        <v>805877</v>
      </c>
      <c r="B691">
        <v>805877</v>
      </c>
      <c r="C691" t="s">
        <v>1075</v>
      </c>
      <c r="D691" t="s">
        <v>1066</v>
      </c>
      <c r="E691" t="s">
        <v>96</v>
      </c>
      <c r="F691" s="1">
        <v>1.85</v>
      </c>
      <c r="G691" s="2">
        <v>0.4</v>
      </c>
      <c r="H691" s="2">
        <v>0.512</v>
      </c>
      <c r="I691" s="1">
        <v>2.59</v>
      </c>
      <c r="J691" s="1">
        <f>IF(AND(ISNUMBER(F691),ISNUMBER(H691)),ROUND(F691*(1+H691),2),"")</f>
        <v>2.8</v>
      </c>
      <c r="K691" s="2">
        <f>IF(AND(ISNUMBER(I691),I691&gt;0,ISNUMBER(J691)),J691/I691-1,"")</f>
        <v>0.08108108108108114</v>
      </c>
      <c r="L691" t="s">
        <v>38</v>
      </c>
      <c r="N691" s="1" t="s">
        <f>IF(AND(ISNUMBER(U691),U691&gt;0,ISNUMBER(J691)),ROUND(J691/U691,2),"")</f>
        <v>39</v>
      </c>
      <c r="Q691" t="s">
        <v>40</v>
      </c>
      <c r="R691" t="s">
        <v>39</v>
      </c>
      <c r="S691">
        <v>526935</v>
      </c>
      <c r="T691">
        <v>526935</v>
      </c>
      <c r="X691" t="s">
        <v>41</v>
      </c>
      <c r="Z691" s="1">
        <v>2.59</v>
      </c>
      <c r="AA691" s="1">
        <f>IF(AND(ISNUMBER(Z691),ISNUMBER(I691),I691&gt;0,ISNUMBER(J691)),ROUND(Z691*J691/I691,2),"")</f>
        <v>2.8</v>
      </c>
      <c r="AB691" t="s">
        <v>42</v>
      </c>
      <c r="AC691" t="s">
        <v>43</v>
      </c>
      <c r="AD691" t="s">
        <v>48</v>
      </c>
      <c r="AE691" t="s">
        <v>45</v>
      </c>
    </row>
    <row r="692">
      <c r="A692">
        <v>964208</v>
      </c>
      <c r="B692">
        <v>964208</v>
      </c>
      <c r="C692" t="s">
        <v>1076</v>
      </c>
      <c r="D692" t="s">
        <v>1066</v>
      </c>
      <c r="E692" t="s">
        <v>98</v>
      </c>
      <c r="F692" s="1">
        <v>2</v>
      </c>
      <c r="G692" s="2">
        <v>0.4</v>
      </c>
      <c r="H692" s="2">
        <v>0.512</v>
      </c>
      <c r="I692" s="1">
        <v>2.8</v>
      </c>
      <c r="J692" s="1">
        <f>IF(AND(ISNUMBER(F692),ISNUMBER(H692)),ROUND(F692*(1+H692),2),"")</f>
        <v>3.02</v>
      </c>
      <c r="K692" s="2">
        <f>IF(AND(ISNUMBER(I692),I692&gt;0,ISNUMBER(J692)),J692/I692-1,"")</f>
        <v>0.07857142857142874</v>
      </c>
      <c r="L692" t="s">
        <v>38</v>
      </c>
      <c r="N692" s="1" t="s">
        <f>IF(AND(ISNUMBER(U692),U692&gt;0,ISNUMBER(J692)),ROUND(J692/U692,2),"")</f>
        <v>39</v>
      </c>
      <c r="Q692" t="s">
        <v>40</v>
      </c>
      <c r="R692" t="s">
        <v>39</v>
      </c>
      <c r="S692">
        <v>725643</v>
      </c>
      <c r="T692">
        <v>725643</v>
      </c>
      <c r="X692" t="s">
        <v>41</v>
      </c>
      <c r="Z692" s="1">
        <v>2.8</v>
      </c>
      <c r="AA692" s="1">
        <f>IF(AND(ISNUMBER(Z692),ISNUMBER(I692),I692&gt;0,ISNUMBER(J692)),ROUND(Z692*J692/I692,2),"")</f>
        <v>3.02</v>
      </c>
      <c r="AB692" t="s">
        <v>42</v>
      </c>
      <c r="AC692" t="s">
        <v>43</v>
      </c>
      <c r="AD692" t="s">
        <v>48</v>
      </c>
      <c r="AE692" t="s">
        <v>45</v>
      </c>
    </row>
    <row r="693">
      <c r="A693">
        <v>812613</v>
      </c>
      <c r="B693">
        <v>812613</v>
      </c>
      <c r="C693" t="s">
        <v>1077</v>
      </c>
      <c r="D693" t="s">
        <v>1066</v>
      </c>
      <c r="E693" t="s">
        <v>63</v>
      </c>
      <c r="F693" s="1">
        <v>1.5</v>
      </c>
      <c r="G693" s="2">
        <v>0.4</v>
      </c>
      <c r="H693" s="2">
        <v>0.512</v>
      </c>
      <c r="I693" s="1">
        <v>2.1</v>
      </c>
      <c r="J693" s="1">
        <f>IF(AND(ISNUMBER(F693),ISNUMBER(H693)),ROUND(F693*(1+H693),2),"")</f>
        <v>2.27</v>
      </c>
      <c r="K693" s="2">
        <f>IF(AND(ISNUMBER(I693),I693&gt;0,ISNUMBER(J693)),J693/I693-1,"")</f>
        <v>0.08095238095238089</v>
      </c>
      <c r="L693" t="s">
        <v>38</v>
      </c>
      <c r="N693" s="1" t="s">
        <f>IF(AND(ISNUMBER(U693),U693&gt;0,ISNUMBER(J693)),ROUND(J693/U693,2),"")</f>
        <v>39</v>
      </c>
      <c r="Q693" t="s">
        <v>40</v>
      </c>
      <c r="R693" t="s">
        <v>39</v>
      </c>
      <c r="S693">
        <v>534481</v>
      </c>
      <c r="T693">
        <v>534481</v>
      </c>
      <c r="X693" t="s">
        <v>41</v>
      </c>
      <c r="Z693" s="1">
        <v>2.1</v>
      </c>
      <c r="AA693" s="1">
        <f>IF(AND(ISNUMBER(Z693),ISNUMBER(I693),I693&gt;0,ISNUMBER(J693)),ROUND(Z693*J693/I693,2),"")</f>
        <v>2.27</v>
      </c>
      <c r="AB693" t="s">
        <v>42</v>
      </c>
      <c r="AC693" t="s">
        <v>43</v>
      </c>
      <c r="AD693" t="s">
        <v>48</v>
      </c>
      <c r="AE693" t="s">
        <v>45</v>
      </c>
    </row>
    <row r="694">
      <c r="A694">
        <v>812611</v>
      </c>
      <c r="B694">
        <v>812611</v>
      </c>
      <c r="C694" t="s">
        <v>1078</v>
      </c>
      <c r="D694" t="s">
        <v>1066</v>
      </c>
      <c r="E694" t="s">
        <v>98</v>
      </c>
      <c r="F694" s="1">
        <v>2</v>
      </c>
      <c r="G694" s="2">
        <v>0.4</v>
      </c>
      <c r="H694" s="2">
        <v>0.512</v>
      </c>
      <c r="I694" s="1">
        <v>2.8</v>
      </c>
      <c r="J694" s="1">
        <f>IF(AND(ISNUMBER(F694),ISNUMBER(H694)),ROUND(F694*(1+H694),2),"")</f>
        <v>3.02</v>
      </c>
      <c r="K694" s="2">
        <f>IF(AND(ISNUMBER(I694),I694&gt;0,ISNUMBER(J694)),J694/I694-1,"")</f>
        <v>0.07857142857142874</v>
      </c>
      <c r="L694" t="s">
        <v>38</v>
      </c>
      <c r="N694" s="1" t="s">
        <f>IF(AND(ISNUMBER(U694),U694&gt;0,ISNUMBER(J694)),ROUND(J694/U694,2),"")</f>
        <v>39</v>
      </c>
      <c r="Q694" t="s">
        <v>40</v>
      </c>
      <c r="R694" t="s">
        <v>39</v>
      </c>
      <c r="S694">
        <v>534479</v>
      </c>
      <c r="T694">
        <v>534479</v>
      </c>
      <c r="X694" t="s">
        <v>41</v>
      </c>
      <c r="Z694" s="1">
        <v>2.8</v>
      </c>
      <c r="AA694" s="1">
        <f>IF(AND(ISNUMBER(Z694),ISNUMBER(I694),I694&gt;0,ISNUMBER(J694)),ROUND(Z694*J694/I694,2),"")</f>
        <v>3.02</v>
      </c>
      <c r="AB694" t="s">
        <v>42</v>
      </c>
      <c r="AC694" t="s">
        <v>43</v>
      </c>
      <c r="AD694" t="s">
        <v>48</v>
      </c>
      <c r="AE694" t="s">
        <v>45</v>
      </c>
    </row>
    <row r="695">
      <c r="A695">
        <v>812612</v>
      </c>
      <c r="B695">
        <v>812612</v>
      </c>
      <c r="C695" t="s">
        <v>1079</v>
      </c>
      <c r="D695" t="s">
        <v>1066</v>
      </c>
      <c r="E695" t="s">
        <v>98</v>
      </c>
      <c r="F695" s="1">
        <v>2.35</v>
      </c>
      <c r="G695" s="2">
        <v>0.4</v>
      </c>
      <c r="H695" s="2">
        <v>0.512</v>
      </c>
      <c r="I695" s="1">
        <v>3.29</v>
      </c>
      <c r="J695" s="1">
        <f>IF(AND(ISNUMBER(F695),ISNUMBER(H695)),ROUND(F695*(1+H695),2),"")</f>
        <v>3.55</v>
      </c>
      <c r="K695" s="2">
        <f>IF(AND(ISNUMBER(I695),I695&gt;0,ISNUMBER(J695)),J695/I695-1,"")</f>
        <v>0.07902735562310026</v>
      </c>
      <c r="L695" t="s">
        <v>38</v>
      </c>
      <c r="N695" s="1" t="s">
        <f>IF(AND(ISNUMBER(U695),U695&gt;0,ISNUMBER(J695)),ROUND(J695/U695,2),"")</f>
        <v>39</v>
      </c>
      <c r="Q695" t="s">
        <v>40</v>
      </c>
      <c r="R695" t="s">
        <v>39</v>
      </c>
      <c r="S695">
        <v>534480</v>
      </c>
      <c r="T695">
        <v>534480</v>
      </c>
      <c r="X695" t="s">
        <v>41</v>
      </c>
      <c r="Z695" s="1">
        <v>3.29</v>
      </c>
      <c r="AA695" s="1">
        <f>IF(AND(ISNUMBER(Z695),ISNUMBER(I695),I695&gt;0,ISNUMBER(J695)),ROUND(Z695*J695/I695,2),"")</f>
        <v>3.55</v>
      </c>
      <c r="AB695" t="s">
        <v>42</v>
      </c>
      <c r="AC695" t="s">
        <v>43</v>
      </c>
      <c r="AD695" t="s">
        <v>44</v>
      </c>
      <c r="AE695" t="s">
        <v>45</v>
      </c>
    </row>
    <row r="696">
      <c r="A696">
        <v>805884</v>
      </c>
      <c r="B696">
        <v>805884</v>
      </c>
      <c r="C696" t="s">
        <v>1080</v>
      </c>
      <c r="D696" t="s">
        <v>1066</v>
      </c>
      <c r="E696" t="s">
        <v>96</v>
      </c>
      <c r="F696" s="1">
        <v>2</v>
      </c>
      <c r="G696" s="2">
        <v>0.4</v>
      </c>
      <c r="H696" s="2">
        <v>0.512</v>
      </c>
      <c r="I696" s="1">
        <v>2.8</v>
      </c>
      <c r="J696" s="1">
        <f>IF(AND(ISNUMBER(F696),ISNUMBER(H696)),ROUND(F696*(1+H696),2),"")</f>
        <v>3.02</v>
      </c>
      <c r="K696" s="2">
        <f>IF(AND(ISNUMBER(I696),I696&gt;0,ISNUMBER(J696)),J696/I696-1,"")</f>
        <v>0.07857142857142874</v>
      </c>
      <c r="L696" t="s">
        <v>38</v>
      </c>
      <c r="N696" s="1" t="s">
        <f>IF(AND(ISNUMBER(U696),U696&gt;0,ISNUMBER(J696)),ROUND(J696/U696,2),"")</f>
        <v>39</v>
      </c>
      <c r="Q696" t="s">
        <v>40</v>
      </c>
      <c r="R696" t="s">
        <v>39</v>
      </c>
      <c r="S696">
        <v>526942</v>
      </c>
      <c r="T696">
        <v>526942</v>
      </c>
      <c r="X696" t="s">
        <v>41</v>
      </c>
      <c r="Z696" s="1">
        <v>2.8</v>
      </c>
      <c r="AA696" s="1">
        <f>IF(AND(ISNUMBER(Z696),ISNUMBER(I696),I696&gt;0,ISNUMBER(J696)),ROUND(Z696*J696/I696,2),"")</f>
        <v>3.02</v>
      </c>
      <c r="AB696" t="s">
        <v>42</v>
      </c>
      <c r="AC696" t="s">
        <v>43</v>
      </c>
      <c r="AD696" t="s">
        <v>48</v>
      </c>
      <c r="AE696" t="s">
        <v>45</v>
      </c>
    </row>
    <row r="697">
      <c r="A697">
        <v>805840</v>
      </c>
      <c r="B697">
        <v>805840</v>
      </c>
      <c r="C697" t="s">
        <v>1081</v>
      </c>
      <c r="D697" t="s">
        <v>1066</v>
      </c>
      <c r="E697" t="s">
        <v>96</v>
      </c>
      <c r="F697" s="1">
        <v>2.35</v>
      </c>
      <c r="G697" s="2">
        <v>0.4</v>
      </c>
      <c r="H697" s="2">
        <v>0.512</v>
      </c>
      <c r="I697" s="1">
        <v>3.29</v>
      </c>
      <c r="J697" s="1">
        <f>IF(AND(ISNUMBER(F697),ISNUMBER(H697)),ROUND(F697*(1+H697),2),"")</f>
        <v>3.55</v>
      </c>
      <c r="K697" s="2">
        <f>IF(AND(ISNUMBER(I697),I697&gt;0,ISNUMBER(J697)),J697/I697-1,"")</f>
        <v>0.07902735562310026</v>
      </c>
      <c r="L697" t="s">
        <v>38</v>
      </c>
      <c r="N697" s="1" t="s">
        <f>IF(AND(ISNUMBER(U697),U697&gt;0,ISNUMBER(J697)),ROUND(J697/U697,2),"")</f>
        <v>39</v>
      </c>
      <c r="Q697" t="s">
        <v>40</v>
      </c>
      <c r="R697" t="s">
        <v>39</v>
      </c>
      <c r="S697">
        <v>526898</v>
      </c>
      <c r="T697">
        <v>526898</v>
      </c>
      <c r="X697" t="s">
        <v>41</v>
      </c>
      <c r="Z697" s="1">
        <v>3.29</v>
      </c>
      <c r="AA697" s="1">
        <f>IF(AND(ISNUMBER(Z697),ISNUMBER(I697),I697&gt;0,ISNUMBER(J697)),ROUND(Z697*J697/I697,2),"")</f>
        <v>3.55</v>
      </c>
      <c r="AB697" t="s">
        <v>42</v>
      </c>
      <c r="AC697" t="s">
        <v>43</v>
      </c>
      <c r="AD697" t="s">
        <v>44</v>
      </c>
      <c r="AE697" t="s">
        <v>45</v>
      </c>
    </row>
    <row r="698">
      <c r="A698">
        <v>964211</v>
      </c>
      <c r="B698">
        <v>964211</v>
      </c>
      <c r="C698" t="s">
        <v>1082</v>
      </c>
      <c r="D698" t="s">
        <v>1066</v>
      </c>
      <c r="E698" t="s">
        <v>98</v>
      </c>
      <c r="F698" s="1">
        <v>2</v>
      </c>
      <c r="G698" s="2">
        <v>0.4</v>
      </c>
      <c r="H698" s="2">
        <v>0.512</v>
      </c>
      <c r="I698" s="1">
        <v>2.8</v>
      </c>
      <c r="J698" s="1">
        <f>IF(AND(ISNUMBER(F698),ISNUMBER(H698)),ROUND(F698*(1+H698),2),"")</f>
        <v>3.02</v>
      </c>
      <c r="K698" s="2">
        <f>IF(AND(ISNUMBER(I698),I698&gt;0,ISNUMBER(J698)),J698/I698-1,"")</f>
        <v>0.07857142857142874</v>
      </c>
      <c r="L698" t="s">
        <v>38</v>
      </c>
      <c r="N698" s="1" t="s">
        <f>IF(AND(ISNUMBER(U698),U698&gt;0,ISNUMBER(J698)),ROUND(J698/U698,2),"")</f>
        <v>39</v>
      </c>
      <c r="Q698" t="s">
        <v>40</v>
      </c>
      <c r="R698" t="s">
        <v>39</v>
      </c>
      <c r="S698">
        <v>725646</v>
      </c>
      <c r="T698">
        <v>725646</v>
      </c>
      <c r="X698" t="s">
        <v>41</v>
      </c>
      <c r="Z698" s="1">
        <v>2.8</v>
      </c>
      <c r="AA698" s="1">
        <f>IF(AND(ISNUMBER(Z698),ISNUMBER(I698),I698&gt;0,ISNUMBER(J698)),ROUND(Z698*J698/I698,2),"")</f>
        <v>3.02</v>
      </c>
      <c r="AB698" t="s">
        <v>42</v>
      </c>
      <c r="AC698" t="s">
        <v>43</v>
      </c>
      <c r="AD698" t="s">
        <v>48</v>
      </c>
      <c r="AE698" t="s">
        <v>45</v>
      </c>
    </row>
    <row r="699">
      <c r="A699">
        <v>805899</v>
      </c>
      <c r="B699">
        <v>805899</v>
      </c>
      <c r="C699" t="s">
        <v>731</v>
      </c>
      <c r="D699" t="s">
        <v>1066</v>
      </c>
      <c r="E699" t="s">
        <v>96</v>
      </c>
      <c r="F699" s="1">
        <v>1.85</v>
      </c>
      <c r="G699" s="2">
        <v>0.4</v>
      </c>
      <c r="H699" s="2">
        <v>0.512</v>
      </c>
      <c r="I699" s="1">
        <v>2.59</v>
      </c>
      <c r="J699" s="1">
        <f>IF(AND(ISNUMBER(F699),ISNUMBER(H699)),ROUND(F699*(1+H699),2),"")</f>
        <v>2.8</v>
      </c>
      <c r="K699" s="2">
        <f>IF(AND(ISNUMBER(I699),I699&gt;0,ISNUMBER(J699)),J699/I699-1,"")</f>
        <v>0.08108108108108114</v>
      </c>
      <c r="L699" t="s">
        <v>38</v>
      </c>
      <c r="N699" s="1" t="s">
        <f>IF(AND(ISNUMBER(U699),U699&gt;0,ISNUMBER(J699)),ROUND(J699/U699,2),"")</f>
        <v>39</v>
      </c>
      <c r="Q699" t="s">
        <v>40</v>
      </c>
      <c r="R699" t="s">
        <v>39</v>
      </c>
      <c r="S699">
        <v>526957</v>
      </c>
      <c r="T699">
        <v>526957</v>
      </c>
      <c r="X699" t="s">
        <v>41</v>
      </c>
      <c r="Z699" s="1">
        <v>2.59</v>
      </c>
      <c r="AA699" s="1">
        <f>IF(AND(ISNUMBER(Z699),ISNUMBER(I699),I699&gt;0,ISNUMBER(J699)),ROUND(Z699*J699/I699,2),"")</f>
        <v>2.8</v>
      </c>
      <c r="AB699" t="s">
        <v>42</v>
      </c>
      <c r="AC699" t="s">
        <v>43</v>
      </c>
      <c r="AD699" t="s">
        <v>48</v>
      </c>
      <c r="AE699" t="s">
        <v>45</v>
      </c>
    </row>
    <row r="700">
      <c r="A700">
        <v>805880</v>
      </c>
      <c r="B700">
        <v>805880</v>
      </c>
      <c r="C700" t="s">
        <v>1083</v>
      </c>
      <c r="D700" t="s">
        <v>1066</v>
      </c>
      <c r="E700" t="s">
        <v>96</v>
      </c>
      <c r="F700" s="1">
        <v>2</v>
      </c>
      <c r="G700" s="2">
        <v>0.4</v>
      </c>
      <c r="H700" s="2">
        <v>0.512</v>
      </c>
      <c r="I700" s="1">
        <v>2.8</v>
      </c>
      <c r="J700" s="1">
        <f>IF(AND(ISNUMBER(F700),ISNUMBER(H700)),ROUND(F700*(1+H700),2),"")</f>
        <v>3.02</v>
      </c>
      <c r="K700" s="2">
        <f>IF(AND(ISNUMBER(I700),I700&gt;0,ISNUMBER(J700)),J700/I700-1,"")</f>
        <v>0.07857142857142874</v>
      </c>
      <c r="L700" t="s">
        <v>38</v>
      </c>
      <c r="N700" s="1" t="s">
        <f>IF(AND(ISNUMBER(U700),U700&gt;0,ISNUMBER(J700)),ROUND(J700/U700,2),"")</f>
        <v>39</v>
      </c>
      <c r="Q700" t="s">
        <v>40</v>
      </c>
      <c r="R700" t="s">
        <v>39</v>
      </c>
      <c r="S700">
        <v>526938</v>
      </c>
      <c r="T700">
        <v>526938</v>
      </c>
      <c r="X700" t="s">
        <v>41</v>
      </c>
      <c r="Z700" s="1">
        <v>2.8</v>
      </c>
      <c r="AA700" s="1">
        <f>IF(AND(ISNUMBER(Z700),ISNUMBER(I700),I700&gt;0,ISNUMBER(J700)),ROUND(Z700*J700/I700,2),"")</f>
        <v>3.02</v>
      </c>
      <c r="AB700" t="s">
        <v>42</v>
      </c>
      <c r="AC700" t="s">
        <v>43</v>
      </c>
      <c r="AD700" t="s">
        <v>44</v>
      </c>
      <c r="AE700" t="s">
        <v>45</v>
      </c>
    </row>
    <row r="701">
      <c r="A701">
        <v>964209</v>
      </c>
      <c r="B701">
        <v>964209</v>
      </c>
      <c r="C701" t="s">
        <v>739</v>
      </c>
      <c r="D701" t="s">
        <v>1066</v>
      </c>
      <c r="E701" t="s">
        <v>96</v>
      </c>
      <c r="F701" s="1">
        <v>2</v>
      </c>
      <c r="G701" s="2">
        <v>0.4</v>
      </c>
      <c r="H701" s="2">
        <v>0.512</v>
      </c>
      <c r="I701" s="1">
        <v>2.8</v>
      </c>
      <c r="J701" s="1">
        <f>IF(AND(ISNUMBER(F701),ISNUMBER(H701)),ROUND(F701*(1+H701),2),"")</f>
        <v>3.02</v>
      </c>
      <c r="K701" s="2">
        <f>IF(AND(ISNUMBER(I701),I701&gt;0,ISNUMBER(J701)),J701/I701-1,"")</f>
        <v>0.07857142857142874</v>
      </c>
      <c r="L701" t="s">
        <v>38</v>
      </c>
      <c r="N701" s="1" t="s">
        <f>IF(AND(ISNUMBER(U701),U701&gt;0,ISNUMBER(J701)),ROUND(J701/U701,2),"")</f>
        <v>39</v>
      </c>
      <c r="Q701" t="s">
        <v>40</v>
      </c>
      <c r="R701" t="s">
        <v>39</v>
      </c>
      <c r="S701">
        <v>725644</v>
      </c>
      <c r="T701">
        <v>725644</v>
      </c>
      <c r="X701" t="s">
        <v>41</v>
      </c>
      <c r="Z701" s="1">
        <v>2.8</v>
      </c>
      <c r="AA701" s="1">
        <f>IF(AND(ISNUMBER(Z701),ISNUMBER(I701),I701&gt;0,ISNUMBER(J701)),ROUND(Z701*J701/I701,2),"")</f>
        <v>3.02</v>
      </c>
      <c r="AB701" t="s">
        <v>42</v>
      </c>
      <c r="AC701" t="s">
        <v>43</v>
      </c>
      <c r="AD701" t="s">
        <v>44</v>
      </c>
      <c r="AE701" t="s">
        <v>45</v>
      </c>
    </row>
    <row r="702">
      <c r="A702">
        <v>805906</v>
      </c>
      <c r="B702">
        <v>805906</v>
      </c>
      <c r="C702" t="s">
        <v>743</v>
      </c>
      <c r="D702" t="s">
        <v>1066</v>
      </c>
      <c r="E702" t="s">
        <v>96</v>
      </c>
      <c r="F702" s="1">
        <v>2</v>
      </c>
      <c r="G702" s="2">
        <v>0.4</v>
      </c>
      <c r="H702" s="2">
        <v>0.512</v>
      </c>
      <c r="I702" s="1">
        <v>2.8</v>
      </c>
      <c r="J702" s="1">
        <f>IF(AND(ISNUMBER(F702),ISNUMBER(H702)),ROUND(F702*(1+H702),2),"")</f>
        <v>3.02</v>
      </c>
      <c r="K702" s="2">
        <f>IF(AND(ISNUMBER(I702),I702&gt;0,ISNUMBER(J702)),J702/I702-1,"")</f>
        <v>0.07857142857142874</v>
      </c>
      <c r="L702" t="s">
        <v>38</v>
      </c>
      <c r="N702" s="1" t="s">
        <f>IF(AND(ISNUMBER(U702),U702&gt;0,ISNUMBER(J702)),ROUND(J702/U702,2),"")</f>
        <v>39</v>
      </c>
      <c r="Q702" t="s">
        <v>40</v>
      </c>
      <c r="R702" t="s">
        <v>39</v>
      </c>
      <c r="S702">
        <v>526964</v>
      </c>
      <c r="T702">
        <v>526964</v>
      </c>
      <c r="X702" t="s">
        <v>41</v>
      </c>
      <c r="Z702" s="1">
        <v>2.8</v>
      </c>
      <c r="AA702" s="1">
        <f>IF(AND(ISNUMBER(Z702),ISNUMBER(I702),I702&gt;0,ISNUMBER(J702)),ROUND(Z702*J702/I702,2),"")</f>
        <v>3.02</v>
      </c>
      <c r="AB702" t="s">
        <v>42</v>
      </c>
      <c r="AC702" t="s">
        <v>43</v>
      </c>
      <c r="AD702" t="s">
        <v>44</v>
      </c>
      <c r="AE702" t="s">
        <v>45</v>
      </c>
    </row>
    <row r="703">
      <c r="A703">
        <v>964229</v>
      </c>
      <c r="B703">
        <v>964229</v>
      </c>
      <c r="C703" t="s">
        <v>1084</v>
      </c>
      <c r="D703" t="s">
        <v>1066</v>
      </c>
      <c r="E703" t="s">
        <v>96</v>
      </c>
      <c r="F703" s="1">
        <v>2</v>
      </c>
      <c r="G703" s="2">
        <v>0.4</v>
      </c>
      <c r="H703" s="2">
        <v>0.512</v>
      </c>
      <c r="I703" s="1">
        <v>2.8</v>
      </c>
      <c r="J703" s="1">
        <f>IF(AND(ISNUMBER(F703),ISNUMBER(H703)),ROUND(F703*(1+H703),2),"")</f>
        <v>3.02</v>
      </c>
      <c r="K703" s="2">
        <f>IF(AND(ISNUMBER(I703),I703&gt;0,ISNUMBER(J703)),J703/I703-1,"")</f>
        <v>0.07857142857142874</v>
      </c>
      <c r="L703" t="s">
        <v>38</v>
      </c>
      <c r="N703" s="1" t="s">
        <f>IF(AND(ISNUMBER(U703),U703&gt;0,ISNUMBER(J703)),ROUND(J703/U703,2),"")</f>
        <v>39</v>
      </c>
      <c r="Q703" t="s">
        <v>40</v>
      </c>
      <c r="R703" t="s">
        <v>39</v>
      </c>
      <c r="S703">
        <v>725669</v>
      </c>
      <c r="T703">
        <v>725669</v>
      </c>
      <c r="X703" t="s">
        <v>41</v>
      </c>
      <c r="Z703" s="1">
        <v>2.8</v>
      </c>
      <c r="AA703" s="1">
        <f>IF(AND(ISNUMBER(Z703),ISNUMBER(I703),I703&gt;0,ISNUMBER(J703)),ROUND(Z703*J703/I703,2),"")</f>
        <v>3.02</v>
      </c>
      <c r="AB703" t="s">
        <v>42</v>
      </c>
      <c r="AC703" t="s">
        <v>43</v>
      </c>
      <c r="AD703" t="s">
        <v>48</v>
      </c>
      <c r="AE703" t="s">
        <v>45</v>
      </c>
    </row>
    <row r="704">
      <c r="A704">
        <v>805882</v>
      </c>
      <c r="B704">
        <v>805882</v>
      </c>
      <c r="C704" t="s">
        <v>907</v>
      </c>
      <c r="D704" t="s">
        <v>1066</v>
      </c>
      <c r="E704" t="s">
        <v>96</v>
      </c>
      <c r="F704" s="1">
        <v>4</v>
      </c>
      <c r="G704" s="2">
        <v>0.4</v>
      </c>
      <c r="H704" s="2">
        <v>0.512</v>
      </c>
      <c r="I704" s="1">
        <v>5.6</v>
      </c>
      <c r="J704" s="1">
        <f>IF(AND(ISNUMBER(F704),ISNUMBER(H704)),ROUND(F704*(1+H704),2),"")</f>
        <v>6.05</v>
      </c>
      <c r="K704" s="2">
        <f>IF(AND(ISNUMBER(I704),I704&gt;0,ISNUMBER(J704)),J704/I704-1,"")</f>
        <v>0.0803571428571428</v>
      </c>
      <c r="L704" t="s">
        <v>38</v>
      </c>
      <c r="N704" s="1" t="s">
        <f>IF(AND(ISNUMBER(U704),U704&gt;0,ISNUMBER(J704)),ROUND(J704/U704,2),"")</f>
        <v>39</v>
      </c>
      <c r="Q704" t="s">
        <v>40</v>
      </c>
      <c r="R704" t="s">
        <v>39</v>
      </c>
      <c r="S704">
        <v>526940</v>
      </c>
      <c r="T704">
        <v>526940</v>
      </c>
      <c r="X704" t="s">
        <v>41</v>
      </c>
      <c r="Z704" s="1">
        <v>5.6</v>
      </c>
      <c r="AA704" s="1">
        <f>IF(AND(ISNUMBER(Z704),ISNUMBER(I704),I704&gt;0,ISNUMBER(J704)),ROUND(Z704*J704/I704,2),"")</f>
        <v>6.05</v>
      </c>
      <c r="AB704" t="s">
        <v>42</v>
      </c>
      <c r="AC704" t="s">
        <v>43</v>
      </c>
      <c r="AD704" t="s">
        <v>44</v>
      </c>
      <c r="AE704" t="s">
        <v>45</v>
      </c>
    </row>
    <row r="705">
      <c r="A705">
        <v>879552</v>
      </c>
      <c r="B705">
        <v>879552</v>
      </c>
      <c r="C705" t="s">
        <v>1085</v>
      </c>
      <c r="D705" t="s">
        <v>1066</v>
      </c>
      <c r="E705" t="s">
        <v>98</v>
      </c>
      <c r="F705" s="1">
        <v>2</v>
      </c>
      <c r="G705" s="2">
        <v>0.4</v>
      </c>
      <c r="H705" s="2">
        <v>0.512</v>
      </c>
      <c r="I705" s="1">
        <v>2.8</v>
      </c>
      <c r="J705" s="1">
        <f>IF(AND(ISNUMBER(F705),ISNUMBER(H705)),ROUND(F705*(1+H705),2),"")</f>
        <v>3.02</v>
      </c>
      <c r="K705" s="2">
        <f>IF(AND(ISNUMBER(I705),I705&gt;0,ISNUMBER(J705)),J705/I705-1,"")</f>
        <v>0.07857142857142874</v>
      </c>
      <c r="L705" t="s">
        <v>38</v>
      </c>
      <c r="N705" s="1" t="s">
        <f>IF(AND(ISNUMBER(U705),U705&gt;0,ISNUMBER(J705)),ROUND(J705/U705,2),"")</f>
        <v>39</v>
      </c>
      <c r="Q705" t="s">
        <v>40</v>
      </c>
      <c r="R705" t="s">
        <v>39</v>
      </c>
      <c r="S705">
        <v>615273</v>
      </c>
      <c r="T705">
        <v>615273</v>
      </c>
      <c r="X705" t="s">
        <v>41</v>
      </c>
      <c r="Z705" s="1">
        <v>2.8</v>
      </c>
      <c r="AA705" s="1">
        <f>IF(AND(ISNUMBER(Z705),ISNUMBER(I705),I705&gt;0,ISNUMBER(J705)),ROUND(Z705*J705/I705,2),"")</f>
        <v>3.02</v>
      </c>
      <c r="AB705" t="s">
        <v>42</v>
      </c>
      <c r="AC705" t="s">
        <v>43</v>
      </c>
      <c r="AD705" t="s">
        <v>48</v>
      </c>
      <c r="AE705" t="s">
        <v>45</v>
      </c>
    </row>
    <row r="706">
      <c r="A706">
        <v>805919</v>
      </c>
      <c r="B706">
        <v>805919</v>
      </c>
      <c r="C706" t="s">
        <v>1086</v>
      </c>
      <c r="D706" t="s">
        <v>1066</v>
      </c>
      <c r="E706" t="s">
        <v>96</v>
      </c>
      <c r="F706" s="1">
        <v>1.35</v>
      </c>
      <c r="G706" s="2">
        <v>0.4</v>
      </c>
      <c r="H706" s="2">
        <v>0.512</v>
      </c>
      <c r="I706" s="1">
        <v>1.89</v>
      </c>
      <c r="J706" s="1">
        <f>IF(AND(ISNUMBER(F706),ISNUMBER(H706)),ROUND(F706*(1+H706),2),"")</f>
        <v>2.04</v>
      </c>
      <c r="K706" s="2">
        <f>IF(AND(ISNUMBER(I706),I706&gt;0,ISNUMBER(J706)),J706/I706-1,"")</f>
        <v>0.07936507936507953</v>
      </c>
      <c r="L706" t="s">
        <v>38</v>
      </c>
      <c r="N706" s="1" t="s">
        <f>IF(AND(ISNUMBER(U706),U706&gt;0,ISNUMBER(J706)),ROUND(J706/U706,2),"")</f>
        <v>39</v>
      </c>
      <c r="Q706" t="s">
        <v>40</v>
      </c>
      <c r="R706" t="s">
        <v>39</v>
      </c>
      <c r="S706">
        <v>526978</v>
      </c>
      <c r="T706">
        <v>526978</v>
      </c>
      <c r="X706" t="s">
        <v>41</v>
      </c>
      <c r="Z706" s="1">
        <v>1.89</v>
      </c>
      <c r="AA706" s="1">
        <f>IF(AND(ISNUMBER(Z706),ISNUMBER(I706),I706&gt;0,ISNUMBER(J706)),ROUND(Z706*J706/I706,2),"")</f>
        <v>2.04</v>
      </c>
      <c r="AB706" t="s">
        <v>42</v>
      </c>
      <c r="AC706" t="s">
        <v>43</v>
      </c>
      <c r="AD706" t="s">
        <v>48</v>
      </c>
      <c r="AE706" t="s">
        <v>45</v>
      </c>
    </row>
    <row r="707">
      <c r="A707">
        <v>988808</v>
      </c>
      <c r="B707">
        <v>988808</v>
      </c>
      <c r="C707" t="s">
        <v>811</v>
      </c>
      <c r="D707" t="s">
        <v>1066</v>
      </c>
      <c r="E707" t="s">
        <v>1087</v>
      </c>
      <c r="F707" s="1">
        <v>1.8</v>
      </c>
      <c r="G707" s="2">
        <v>0.4</v>
      </c>
      <c r="H707" s="2">
        <v>0.512</v>
      </c>
      <c r="I707" s="1">
        <v>2.52</v>
      </c>
      <c r="J707" s="1">
        <f>IF(AND(ISNUMBER(F707),ISNUMBER(H707)),ROUND(F707*(1+H707),2),"")</f>
        <v>2.72</v>
      </c>
      <c r="K707" s="2">
        <f>IF(AND(ISNUMBER(I707),I707&gt;0,ISNUMBER(J707)),J707/I707-1,"")</f>
        <v>0.07936507936507953</v>
      </c>
      <c r="L707" t="s">
        <v>38</v>
      </c>
      <c r="M707" s="1">
        <v>2.52</v>
      </c>
      <c r="N707" s="1">
        <f>IF(AND(ISNUMBER(U707),U707&gt;0,ISNUMBER(J707)),ROUND(J707/U707,2),"")</f>
        <v>2.72</v>
      </c>
      <c r="Q707" t="s">
        <v>40</v>
      </c>
      <c r="R707" t="s">
        <v>39</v>
      </c>
      <c r="S707">
        <v>760366</v>
      </c>
      <c r="T707">
        <v>760366</v>
      </c>
      <c r="U707" s="3">
        <v>1</v>
      </c>
      <c r="X707" t="s">
        <v>41</v>
      </c>
      <c r="Z707" s="1">
        <v>2.52</v>
      </c>
      <c r="AA707" s="1">
        <f>IF(AND(ISNUMBER(Z707),ISNUMBER(I707),I707&gt;0,ISNUMBER(J707)),ROUND(Z707*J707/I707,2),"")</f>
        <v>2.72</v>
      </c>
      <c r="AB707" t="s">
        <v>42</v>
      </c>
      <c r="AC707" t="s">
        <v>43</v>
      </c>
      <c r="AD707" t="s">
        <v>48</v>
      </c>
      <c r="AE707" t="s">
        <v>45</v>
      </c>
    </row>
    <row r="708">
      <c r="A708">
        <v>999641</v>
      </c>
      <c r="B708">
        <v>999641</v>
      </c>
      <c r="C708" t="s">
        <v>754</v>
      </c>
      <c r="D708" t="s">
        <v>1066</v>
      </c>
      <c r="E708" t="s">
        <v>113</v>
      </c>
      <c r="F708" s="1">
        <v>3.2</v>
      </c>
      <c r="G708" s="2">
        <v>0.4</v>
      </c>
      <c r="H708" s="2">
        <v>0.512</v>
      </c>
      <c r="I708" s="1">
        <v>4.48</v>
      </c>
      <c r="J708" s="1">
        <f>IF(AND(ISNUMBER(F708),ISNUMBER(H708)),ROUND(F708*(1+H708),2),"")</f>
        <v>4.84</v>
      </c>
      <c r="K708" s="2">
        <f>IF(AND(ISNUMBER(I708),I708&gt;0,ISNUMBER(J708)),J708/I708-1,"")</f>
        <v>0.0803571428571428</v>
      </c>
      <c r="L708" t="s">
        <v>38</v>
      </c>
      <c r="M708" s="1">
        <v>4.48</v>
      </c>
      <c r="N708" s="1">
        <f>IF(AND(ISNUMBER(U708),U708&gt;0,ISNUMBER(J708)),ROUND(J708/U708,2),"")</f>
        <v>4.84</v>
      </c>
      <c r="Q708" t="s">
        <v>40</v>
      </c>
      <c r="R708" t="s">
        <v>39</v>
      </c>
      <c r="S708">
        <v>776519</v>
      </c>
      <c r="T708">
        <v>776519</v>
      </c>
      <c r="U708" s="3">
        <v>1</v>
      </c>
      <c r="X708" t="s">
        <v>41</v>
      </c>
      <c r="Z708" s="1">
        <v>4.48</v>
      </c>
      <c r="AA708" s="1">
        <f>IF(AND(ISNUMBER(Z708),ISNUMBER(I708),I708&gt;0,ISNUMBER(J708)),ROUND(Z708*J708/I708,2),"")</f>
        <v>4.84</v>
      </c>
      <c r="AB708" t="s">
        <v>42</v>
      </c>
      <c r="AC708" t="s">
        <v>43</v>
      </c>
      <c r="AD708" t="s">
        <v>44</v>
      </c>
      <c r="AE708" t="s">
        <v>45</v>
      </c>
    </row>
    <row r="709">
      <c r="A709">
        <v>977884</v>
      </c>
      <c r="B709">
        <v>977884</v>
      </c>
      <c r="C709" t="s">
        <v>1088</v>
      </c>
      <c r="D709" t="s">
        <v>1066</v>
      </c>
      <c r="E709" t="s">
        <v>63</v>
      </c>
      <c r="F709" s="1">
        <v>1.85</v>
      </c>
      <c r="G709" s="2">
        <v>0.4</v>
      </c>
      <c r="H709" s="2">
        <v>0.512</v>
      </c>
      <c r="I709" s="1">
        <v>2.59</v>
      </c>
      <c r="J709" s="1">
        <f>IF(AND(ISNUMBER(F709),ISNUMBER(H709)),ROUND(F709*(1+H709),2),"")</f>
        <v>2.8</v>
      </c>
      <c r="K709" s="2">
        <f>IF(AND(ISNUMBER(I709),I709&gt;0,ISNUMBER(J709)),J709/I709-1,"")</f>
        <v>0.08108108108108114</v>
      </c>
      <c r="L709" t="s">
        <v>38</v>
      </c>
      <c r="N709" s="1" t="s">
        <f>IF(AND(ISNUMBER(U709),U709&gt;0,ISNUMBER(J709)),ROUND(J709/U709,2),"")</f>
        <v>39</v>
      </c>
      <c r="Q709" t="s">
        <v>40</v>
      </c>
      <c r="R709" t="s">
        <v>39</v>
      </c>
      <c r="S709">
        <v>744416</v>
      </c>
      <c r="T709">
        <v>744416</v>
      </c>
      <c r="X709" t="s">
        <v>41</v>
      </c>
      <c r="Z709" s="1">
        <v>2.59</v>
      </c>
      <c r="AA709" s="1">
        <f>IF(AND(ISNUMBER(Z709),ISNUMBER(I709),I709&gt;0,ISNUMBER(J709)),ROUND(Z709*J709/I709,2),"")</f>
        <v>2.8</v>
      </c>
      <c r="AB709" t="s">
        <v>42</v>
      </c>
      <c r="AC709" t="s">
        <v>43</v>
      </c>
      <c r="AD709" t="s">
        <v>48</v>
      </c>
      <c r="AE709" t="s">
        <v>45</v>
      </c>
    </row>
    <row r="710">
      <c r="A710">
        <v>1006108</v>
      </c>
      <c r="B710">
        <v>1006108</v>
      </c>
      <c r="C710" t="s">
        <v>1089</v>
      </c>
      <c r="D710" t="s">
        <v>1066</v>
      </c>
      <c r="E710" t="s">
        <v>96</v>
      </c>
      <c r="F710" s="1">
        <v>2.5</v>
      </c>
      <c r="G710" s="2">
        <v>0.4</v>
      </c>
      <c r="H710" s="2">
        <v>0.512</v>
      </c>
      <c r="I710" s="1">
        <v>3.5</v>
      </c>
      <c r="J710" s="1">
        <f>IF(AND(ISNUMBER(F710),ISNUMBER(H710)),ROUND(F710*(1+H710),2),"")</f>
        <v>3.78</v>
      </c>
      <c r="K710" s="2">
        <f>IF(AND(ISNUMBER(I710),I710&gt;0,ISNUMBER(J710)),J710/I710-1,"")</f>
        <v>0.07999999999999985</v>
      </c>
      <c r="L710" t="s">
        <v>38</v>
      </c>
      <c r="N710" s="1" t="s">
        <f>IF(AND(ISNUMBER(U710),U710&gt;0,ISNUMBER(J710)),ROUND(J710/U710,2),"")</f>
        <v>39</v>
      </c>
      <c r="Q710" t="s">
        <v>40</v>
      </c>
      <c r="R710" t="s">
        <v>39</v>
      </c>
      <c r="S710">
        <v>786671</v>
      </c>
      <c r="T710">
        <v>786671</v>
      </c>
      <c r="X710" t="s">
        <v>41</v>
      </c>
      <c r="Z710" s="1">
        <v>3.5</v>
      </c>
      <c r="AA710" s="1">
        <f>IF(AND(ISNUMBER(Z710),ISNUMBER(I710),I710&gt;0,ISNUMBER(J710)),ROUND(Z710*J710/I710,2),"")</f>
        <v>3.78</v>
      </c>
      <c r="AB710" t="s">
        <v>42</v>
      </c>
      <c r="AC710" t="s">
        <v>43</v>
      </c>
      <c r="AD710" t="s">
        <v>48</v>
      </c>
      <c r="AE710" t="s">
        <v>45</v>
      </c>
    </row>
    <row r="711">
      <c r="A711">
        <v>805874</v>
      </c>
      <c r="B711">
        <v>805874</v>
      </c>
      <c r="C711" t="s">
        <v>1090</v>
      </c>
      <c r="D711" t="s">
        <v>1066</v>
      </c>
      <c r="E711" t="s">
        <v>153</v>
      </c>
      <c r="F711" s="1">
        <v>4.25</v>
      </c>
      <c r="G711" s="2">
        <v>0.4</v>
      </c>
      <c r="H711" s="2">
        <v>0.512</v>
      </c>
      <c r="I711" s="1">
        <v>5.95</v>
      </c>
      <c r="J711" s="1">
        <f>IF(AND(ISNUMBER(F711),ISNUMBER(H711)),ROUND(F711*(1+H711),2),"")</f>
        <v>6.43</v>
      </c>
      <c r="K711" s="2">
        <f>IF(AND(ISNUMBER(I711),I711&gt;0,ISNUMBER(J711)),J711/I711-1,"")</f>
        <v>0.08067226890756296</v>
      </c>
      <c r="L711" t="s">
        <v>38</v>
      </c>
      <c r="M711" s="1">
        <v>11.9</v>
      </c>
      <c r="N711" s="1">
        <f>IF(AND(ISNUMBER(U711),U711&gt;0,ISNUMBER(J711)),ROUND(J711/U711,2),"")</f>
        <v>12.86</v>
      </c>
      <c r="Q711" t="s">
        <v>40</v>
      </c>
      <c r="R711" t="s">
        <v>39</v>
      </c>
      <c r="S711">
        <v>526932</v>
      </c>
      <c r="T711">
        <v>526932</v>
      </c>
      <c r="U711" s="3">
        <v>0.5</v>
      </c>
      <c r="X711" t="s">
        <v>41</v>
      </c>
      <c r="Z711" s="1">
        <v>5.95</v>
      </c>
      <c r="AA711" s="1">
        <f>IF(AND(ISNUMBER(Z711),ISNUMBER(I711),I711&gt;0,ISNUMBER(J711)),ROUND(Z711*J711/I711,2),"")</f>
        <v>6.43</v>
      </c>
      <c r="AB711" t="s">
        <v>42</v>
      </c>
      <c r="AC711" t="s">
        <v>43</v>
      </c>
      <c r="AD711" t="s">
        <v>44</v>
      </c>
      <c r="AE711" t="s">
        <v>45</v>
      </c>
    </row>
    <row r="712">
      <c r="A712">
        <v>948077</v>
      </c>
      <c r="B712">
        <v>948077</v>
      </c>
      <c r="C712" t="s">
        <v>1091</v>
      </c>
      <c r="D712" t="s">
        <v>1066</v>
      </c>
      <c r="E712" t="s">
        <v>63</v>
      </c>
      <c r="F712" s="1">
        <v>4</v>
      </c>
      <c r="G712" s="2">
        <v>0.4</v>
      </c>
      <c r="H712" s="2">
        <v>0.512</v>
      </c>
      <c r="I712" s="1">
        <v>5.6</v>
      </c>
      <c r="J712" s="1">
        <f>IF(AND(ISNUMBER(F712),ISNUMBER(H712)),ROUND(F712*(1+H712),2),"")</f>
        <v>6.05</v>
      </c>
      <c r="K712" s="2">
        <f>IF(AND(ISNUMBER(I712),I712&gt;0,ISNUMBER(J712)),J712/I712-1,"")</f>
        <v>0.0803571428571428</v>
      </c>
      <c r="L712" t="s">
        <v>38</v>
      </c>
      <c r="N712" s="1" t="s">
        <f>IF(AND(ISNUMBER(U712),U712&gt;0,ISNUMBER(J712)),ROUND(J712/U712,2),"")</f>
        <v>39</v>
      </c>
      <c r="Q712" t="s">
        <v>40</v>
      </c>
      <c r="R712" t="s">
        <v>39</v>
      </c>
      <c r="S712">
        <v>703358</v>
      </c>
      <c r="T712">
        <v>703358</v>
      </c>
      <c r="X712" t="s">
        <v>41</v>
      </c>
      <c r="Z712" s="1">
        <v>5.6</v>
      </c>
      <c r="AA712" s="1">
        <f>IF(AND(ISNUMBER(Z712),ISNUMBER(I712),I712&gt;0,ISNUMBER(J712)),ROUND(Z712*J712/I712,2),"")</f>
        <v>6.05</v>
      </c>
      <c r="AB712" t="s">
        <v>42</v>
      </c>
      <c r="AC712" t="s">
        <v>1092</v>
      </c>
      <c r="AD712" t="s">
        <v>48</v>
      </c>
      <c r="AE712" t="s">
        <v>45</v>
      </c>
    </row>
    <row r="713">
      <c r="A713">
        <v>879551</v>
      </c>
      <c r="B713">
        <v>879551</v>
      </c>
      <c r="C713" t="s">
        <v>1093</v>
      </c>
      <c r="D713" t="s">
        <v>1066</v>
      </c>
      <c r="E713" t="s">
        <v>98</v>
      </c>
      <c r="F713" s="1">
        <v>2</v>
      </c>
      <c r="G713" s="2">
        <v>0.4</v>
      </c>
      <c r="H713" s="2">
        <v>0.512</v>
      </c>
      <c r="I713" s="1">
        <v>2.8</v>
      </c>
      <c r="J713" s="1">
        <f>IF(AND(ISNUMBER(F713),ISNUMBER(H713)),ROUND(F713*(1+H713),2),"")</f>
        <v>3.02</v>
      </c>
      <c r="K713" s="2">
        <f>IF(AND(ISNUMBER(I713),I713&gt;0,ISNUMBER(J713)),J713/I713-1,"")</f>
        <v>0.07857142857142874</v>
      </c>
      <c r="L713" t="s">
        <v>38</v>
      </c>
      <c r="N713" s="1" t="s">
        <f>IF(AND(ISNUMBER(U713),U713&gt;0,ISNUMBER(J713)),ROUND(J713/U713,2),"")</f>
        <v>39</v>
      </c>
      <c r="Q713" t="s">
        <v>40</v>
      </c>
      <c r="R713" t="s">
        <v>39</v>
      </c>
      <c r="S713">
        <v>615272</v>
      </c>
      <c r="T713">
        <v>615272</v>
      </c>
      <c r="X713" t="s">
        <v>41</v>
      </c>
      <c r="Z713" s="1">
        <v>2.8</v>
      </c>
      <c r="AA713" s="1">
        <f>IF(AND(ISNUMBER(Z713),ISNUMBER(I713),I713&gt;0,ISNUMBER(J713)),ROUND(Z713*J713/I713,2),"")</f>
        <v>3.02</v>
      </c>
      <c r="AB713" t="s">
        <v>42</v>
      </c>
      <c r="AC713" t="s">
        <v>1094</v>
      </c>
      <c r="AD713" t="s">
        <v>48</v>
      </c>
      <c r="AE713" t="s">
        <v>45</v>
      </c>
    </row>
    <row r="714">
      <c r="A714">
        <v>912554</v>
      </c>
      <c r="B714">
        <v>912554</v>
      </c>
      <c r="C714" t="s">
        <v>1012</v>
      </c>
      <c r="D714" t="s">
        <v>1066</v>
      </c>
      <c r="E714" t="s">
        <v>133</v>
      </c>
      <c r="F714" s="1">
        <v>2</v>
      </c>
      <c r="G714" s="2">
        <v>0.4</v>
      </c>
      <c r="H714" s="2">
        <v>0.512</v>
      </c>
      <c r="I714" s="1">
        <v>2.8</v>
      </c>
      <c r="J714" s="1">
        <f>IF(AND(ISNUMBER(F714),ISNUMBER(H714)),ROUND(F714*(1+H714),2),"")</f>
        <v>3.02</v>
      </c>
      <c r="K714" s="2">
        <f>IF(AND(ISNUMBER(I714),I714&gt;0,ISNUMBER(J714)),J714/I714-1,"")</f>
        <v>0.07857142857142874</v>
      </c>
      <c r="L714" t="s">
        <v>38</v>
      </c>
      <c r="N714" s="1" t="s">
        <f>IF(AND(ISNUMBER(U714),U714&gt;0,ISNUMBER(J714)),ROUND(J714/U714,2),"")</f>
        <v>39</v>
      </c>
      <c r="Q714" t="s">
        <v>40</v>
      </c>
      <c r="R714" t="s">
        <v>39</v>
      </c>
      <c r="S714">
        <v>657841</v>
      </c>
      <c r="T714">
        <v>657841</v>
      </c>
      <c r="X714" t="s">
        <v>41</v>
      </c>
      <c r="Z714" s="1">
        <v>2.8</v>
      </c>
      <c r="AA714" s="1">
        <f>IF(AND(ISNUMBER(Z714),ISNUMBER(I714),I714&gt;0,ISNUMBER(J714)),ROUND(Z714*J714/I714,2),"")</f>
        <v>3.02</v>
      </c>
      <c r="AB714" t="s">
        <v>42</v>
      </c>
      <c r="AC714" t="s">
        <v>43</v>
      </c>
      <c r="AD714" t="s">
        <v>48</v>
      </c>
      <c r="AE714" t="s">
        <v>45</v>
      </c>
    </row>
    <row r="715">
      <c r="A715">
        <v>884968</v>
      </c>
      <c r="B715">
        <v>884968</v>
      </c>
      <c r="C715" t="s">
        <v>1095</v>
      </c>
      <c r="D715" t="s">
        <v>1066</v>
      </c>
      <c r="E715" t="s">
        <v>147</v>
      </c>
      <c r="F715" s="1">
        <v>4.25</v>
      </c>
      <c r="G715" s="2">
        <v>0.4</v>
      </c>
      <c r="H715" s="2">
        <v>0.512</v>
      </c>
      <c r="I715" s="1">
        <v>5.95</v>
      </c>
      <c r="J715" s="1">
        <f>IF(AND(ISNUMBER(F715),ISNUMBER(H715)),ROUND(F715*(1+H715),2),"")</f>
        <v>6.43</v>
      </c>
      <c r="K715" s="2">
        <f>IF(AND(ISNUMBER(I715),I715&gt;0,ISNUMBER(J715)),J715/I715-1,"")</f>
        <v>0.08067226890756296</v>
      </c>
      <c r="L715" t="s">
        <v>38</v>
      </c>
      <c r="M715" s="1">
        <v>11.9</v>
      </c>
      <c r="N715" s="1">
        <f>IF(AND(ISNUMBER(U715),U715&gt;0,ISNUMBER(J715)),ROUND(J715/U715,2),"")</f>
        <v>12.86</v>
      </c>
      <c r="Q715" t="s">
        <v>40</v>
      </c>
      <c r="R715" t="s">
        <v>39</v>
      </c>
      <c r="S715">
        <v>622470</v>
      </c>
      <c r="T715">
        <v>622470</v>
      </c>
      <c r="U715" s="3">
        <v>0.5</v>
      </c>
      <c r="X715" t="s">
        <v>41</v>
      </c>
      <c r="Z715" s="1">
        <v>5.95</v>
      </c>
      <c r="AA715" s="1">
        <f>IF(AND(ISNUMBER(Z715),ISNUMBER(I715),I715&gt;0,ISNUMBER(J715)),ROUND(Z715*J715/I715,2),"")</f>
        <v>6.43</v>
      </c>
      <c r="AB715" t="s">
        <v>42</v>
      </c>
      <c r="AC715" t="s">
        <v>43</v>
      </c>
      <c r="AD715" t="s">
        <v>48</v>
      </c>
      <c r="AE715" t="s">
        <v>45</v>
      </c>
    </row>
    <row r="716">
      <c r="A716">
        <v>890651</v>
      </c>
      <c r="B716">
        <v>890651</v>
      </c>
      <c r="C716" t="s">
        <v>1096</v>
      </c>
      <c r="D716" t="s">
        <v>1066</v>
      </c>
      <c r="E716" t="s">
        <v>98</v>
      </c>
      <c r="F716" s="1">
        <v>1.5</v>
      </c>
      <c r="G716" s="2">
        <v>0.4</v>
      </c>
      <c r="H716" s="2">
        <v>0.512</v>
      </c>
      <c r="I716" s="1">
        <v>2.1</v>
      </c>
      <c r="J716" s="1">
        <f>IF(AND(ISNUMBER(F716),ISNUMBER(H716)),ROUND(F716*(1+H716),2),"")</f>
        <v>2.27</v>
      </c>
      <c r="K716" s="2">
        <f>IF(AND(ISNUMBER(I716),I716&gt;0,ISNUMBER(J716)),J716/I716-1,"")</f>
        <v>0.08095238095238089</v>
      </c>
      <c r="L716" t="s">
        <v>38</v>
      </c>
      <c r="N716" s="1" t="s">
        <f>IF(AND(ISNUMBER(U716),U716&gt;0,ISNUMBER(J716)),ROUND(J716/U716,2),"")</f>
        <v>39</v>
      </c>
      <c r="Q716" t="s">
        <v>40</v>
      </c>
      <c r="R716" t="s">
        <v>39</v>
      </c>
      <c r="S716">
        <v>630140</v>
      </c>
      <c r="T716">
        <v>630140</v>
      </c>
      <c r="X716" t="s">
        <v>41</v>
      </c>
      <c r="Z716" s="1">
        <v>2.1</v>
      </c>
      <c r="AA716" s="1">
        <f>IF(AND(ISNUMBER(Z716),ISNUMBER(I716),I716&gt;0,ISNUMBER(J716)),ROUND(Z716*J716/I716,2),"")</f>
        <v>2.27</v>
      </c>
      <c r="AB716" t="s">
        <v>42</v>
      </c>
      <c r="AC716" t="s">
        <v>43</v>
      </c>
      <c r="AD716" t="s">
        <v>48</v>
      </c>
      <c r="AE716" t="s">
        <v>45</v>
      </c>
    </row>
    <row r="717">
      <c r="A717">
        <v>815018</v>
      </c>
      <c r="B717">
        <v>815018</v>
      </c>
      <c r="C717" t="s">
        <v>1097</v>
      </c>
      <c r="D717" t="s">
        <v>1066</v>
      </c>
      <c r="E717" t="s">
        <v>63</v>
      </c>
      <c r="F717" s="1">
        <v>1</v>
      </c>
      <c r="G717" s="2">
        <v>0.4</v>
      </c>
      <c r="H717" s="2">
        <v>0.512</v>
      </c>
      <c r="I717" s="1">
        <v>1.4</v>
      </c>
      <c r="J717" s="1">
        <f>IF(AND(ISNUMBER(F717),ISNUMBER(H717)),ROUND(F717*(1+H717),2),"")</f>
        <v>1.51</v>
      </c>
      <c r="K717" s="2">
        <f>IF(AND(ISNUMBER(I717),I717&gt;0,ISNUMBER(J717)),J717/I717-1,"")</f>
        <v>0.07857142857142874</v>
      </c>
      <c r="L717" t="s">
        <v>38</v>
      </c>
      <c r="N717" s="1" t="s">
        <f>IF(AND(ISNUMBER(U717),U717&gt;0,ISNUMBER(J717)),ROUND(J717/U717,2),"")</f>
        <v>39</v>
      </c>
      <c r="Q717" t="s">
        <v>40</v>
      </c>
      <c r="R717" t="s">
        <v>39</v>
      </c>
      <c r="S717">
        <v>537155</v>
      </c>
      <c r="T717">
        <v>537155</v>
      </c>
      <c r="X717" t="s">
        <v>41</v>
      </c>
      <c r="Z717" s="1">
        <v>1.4</v>
      </c>
      <c r="AA717" s="1">
        <f>IF(AND(ISNUMBER(Z717),ISNUMBER(I717),I717&gt;0,ISNUMBER(J717)),ROUND(Z717*J717/I717,2),"")</f>
        <v>1.51</v>
      </c>
      <c r="AB717" t="s">
        <v>42</v>
      </c>
      <c r="AC717" t="s">
        <v>43</v>
      </c>
      <c r="AD717" t="s">
        <v>48</v>
      </c>
      <c r="AE717" t="s">
        <v>45</v>
      </c>
    </row>
    <row r="718">
      <c r="A718">
        <v>980313</v>
      </c>
      <c r="B718">
        <v>980313</v>
      </c>
      <c r="C718" t="s">
        <v>1098</v>
      </c>
      <c r="D718" t="s">
        <v>1066</v>
      </c>
      <c r="E718" t="s">
        <v>63</v>
      </c>
      <c r="F718" s="1">
        <v>1</v>
      </c>
      <c r="G718" s="2">
        <v>0.4</v>
      </c>
      <c r="H718" s="2">
        <v>0.512</v>
      </c>
      <c r="I718" s="1">
        <v>1.4</v>
      </c>
      <c r="J718" s="1">
        <f>IF(AND(ISNUMBER(F718),ISNUMBER(H718)),ROUND(F718*(1+H718),2),"")</f>
        <v>1.51</v>
      </c>
      <c r="K718" s="2">
        <f>IF(AND(ISNUMBER(I718),I718&gt;0,ISNUMBER(J718)),J718/I718-1,"")</f>
        <v>0.07857142857142874</v>
      </c>
      <c r="L718" t="s">
        <v>38</v>
      </c>
      <c r="N718" s="1" t="s">
        <f>IF(AND(ISNUMBER(U718),U718&gt;0,ISNUMBER(J718)),ROUND(J718/U718,2),"")</f>
        <v>39</v>
      </c>
      <c r="Q718" t="s">
        <v>40</v>
      </c>
      <c r="R718" t="s">
        <v>39</v>
      </c>
      <c r="S718">
        <v>748220</v>
      </c>
      <c r="T718">
        <v>748220</v>
      </c>
      <c r="X718" t="s">
        <v>41</v>
      </c>
      <c r="Z718" s="1">
        <v>1.4</v>
      </c>
      <c r="AA718" s="1">
        <f>IF(AND(ISNUMBER(Z718),ISNUMBER(I718),I718&gt;0,ISNUMBER(J718)),ROUND(Z718*J718/I718,2),"")</f>
        <v>1.51</v>
      </c>
      <c r="AB718" t="s">
        <v>42</v>
      </c>
      <c r="AC718" t="s">
        <v>43</v>
      </c>
      <c r="AD718" t="s">
        <v>48</v>
      </c>
      <c r="AE718" t="s">
        <v>45</v>
      </c>
    </row>
    <row r="719">
      <c r="A719">
        <v>950208</v>
      </c>
      <c r="B719">
        <v>950208</v>
      </c>
      <c r="C719" t="s">
        <v>1099</v>
      </c>
      <c r="D719" t="s">
        <v>1066</v>
      </c>
      <c r="E719" t="s">
        <v>98</v>
      </c>
      <c r="F719" s="1">
        <v>2.5</v>
      </c>
      <c r="G719" s="2">
        <v>0.4</v>
      </c>
      <c r="H719" s="2">
        <v>0.512</v>
      </c>
      <c r="I719" s="1">
        <v>3.5</v>
      </c>
      <c r="J719" s="1">
        <f>IF(AND(ISNUMBER(F719),ISNUMBER(H719)),ROUND(F719*(1+H719),2),"")</f>
        <v>3.78</v>
      </c>
      <c r="K719" s="2">
        <f>IF(AND(ISNUMBER(I719),I719&gt;0,ISNUMBER(J719)),J719/I719-1,"")</f>
        <v>0.07999999999999985</v>
      </c>
      <c r="L719" t="s">
        <v>38</v>
      </c>
      <c r="N719" s="1" t="s">
        <f>IF(AND(ISNUMBER(U719),U719&gt;0,ISNUMBER(J719)),ROUND(J719/U719,2),"")</f>
        <v>39</v>
      </c>
      <c r="Q719" t="s">
        <v>40</v>
      </c>
      <c r="R719" t="s">
        <v>39</v>
      </c>
      <c r="S719">
        <v>706698</v>
      </c>
      <c r="T719">
        <v>706698</v>
      </c>
      <c r="X719" t="s">
        <v>41</v>
      </c>
      <c r="Z719" s="1">
        <v>3.5</v>
      </c>
      <c r="AA719" s="1">
        <f>IF(AND(ISNUMBER(Z719),ISNUMBER(I719),I719&gt;0,ISNUMBER(J719)),ROUND(Z719*J719/I719,2),"")</f>
        <v>3.78</v>
      </c>
      <c r="AB719" t="s">
        <v>42</v>
      </c>
      <c r="AC719" t="s">
        <v>43</v>
      </c>
      <c r="AD719" t="s">
        <v>48</v>
      </c>
      <c r="AE719" t="s">
        <v>45</v>
      </c>
    </row>
    <row r="720">
      <c r="A720">
        <v>975957</v>
      </c>
      <c r="B720">
        <v>975957</v>
      </c>
      <c r="C720" t="s">
        <v>1100</v>
      </c>
      <c r="D720" t="s">
        <v>1066</v>
      </c>
      <c r="E720" t="s">
        <v>63</v>
      </c>
      <c r="F720" s="1">
        <v>2.75</v>
      </c>
      <c r="G720" s="2">
        <v>0.4</v>
      </c>
      <c r="H720" s="2">
        <v>0.512</v>
      </c>
      <c r="I720" s="1">
        <v>3.85</v>
      </c>
      <c r="J720" s="1">
        <f>IF(AND(ISNUMBER(F720),ISNUMBER(H720)),ROUND(F720*(1+H720),2),"")</f>
        <v>4.16</v>
      </c>
      <c r="K720" s="2">
        <f>IF(AND(ISNUMBER(I720),I720&gt;0,ISNUMBER(J720)),J720/I720-1,"")</f>
        <v>0.08051948051948044</v>
      </c>
      <c r="L720" t="s">
        <v>38</v>
      </c>
      <c r="N720" s="1" t="s">
        <f>IF(AND(ISNUMBER(U720),U720&gt;0,ISNUMBER(J720)),ROUND(J720/U720,2),"")</f>
        <v>39</v>
      </c>
      <c r="Q720" t="s">
        <v>40</v>
      </c>
      <c r="R720" t="s">
        <v>39</v>
      </c>
      <c r="S720">
        <v>741595</v>
      </c>
      <c r="T720">
        <v>741595</v>
      </c>
      <c r="X720" t="s">
        <v>41</v>
      </c>
      <c r="Z720" s="1">
        <v>3.85</v>
      </c>
      <c r="AA720" s="1">
        <f>IF(AND(ISNUMBER(Z720),ISNUMBER(I720),I720&gt;0,ISNUMBER(J720)),ROUND(Z720*J720/I720,2),"")</f>
        <v>4.16</v>
      </c>
      <c r="AB720" t="s">
        <v>42</v>
      </c>
      <c r="AC720" t="s">
        <v>43</v>
      </c>
      <c r="AD720" t="s">
        <v>48</v>
      </c>
      <c r="AE720" t="s">
        <v>45</v>
      </c>
    </row>
    <row r="721">
      <c r="A721">
        <v>805948</v>
      </c>
      <c r="B721">
        <v>805948</v>
      </c>
      <c r="C721" t="s">
        <v>1101</v>
      </c>
      <c r="D721" t="s">
        <v>1066</v>
      </c>
      <c r="E721" t="s">
        <v>96</v>
      </c>
      <c r="F721" s="1">
        <v>4</v>
      </c>
      <c r="G721" s="2">
        <v>0.4</v>
      </c>
      <c r="H721" s="2">
        <v>0.512</v>
      </c>
      <c r="I721" s="1">
        <v>5.6</v>
      </c>
      <c r="J721" s="1">
        <f>IF(AND(ISNUMBER(F721),ISNUMBER(H721)),ROUND(F721*(1+H721),2),"")</f>
        <v>6.05</v>
      </c>
      <c r="K721" s="2">
        <f>IF(AND(ISNUMBER(I721),I721&gt;0,ISNUMBER(J721)),J721/I721-1,"")</f>
        <v>0.0803571428571428</v>
      </c>
      <c r="L721" t="s">
        <v>38</v>
      </c>
      <c r="N721" s="1" t="s">
        <f>IF(AND(ISNUMBER(U721),U721&gt;0,ISNUMBER(J721)),ROUND(J721/U721,2),"")</f>
        <v>39</v>
      </c>
      <c r="Q721" t="s">
        <v>40</v>
      </c>
      <c r="R721" t="s">
        <v>39</v>
      </c>
      <c r="S721">
        <v>527008</v>
      </c>
      <c r="T721">
        <v>527008</v>
      </c>
      <c r="X721" t="s">
        <v>41</v>
      </c>
      <c r="Z721" s="1">
        <v>5.6</v>
      </c>
      <c r="AA721" s="1">
        <f>IF(AND(ISNUMBER(Z721),ISNUMBER(I721),I721&gt;0,ISNUMBER(J721)),ROUND(Z721*J721/I721,2),"")</f>
        <v>6.05</v>
      </c>
      <c r="AB721" t="s">
        <v>42</v>
      </c>
      <c r="AC721" t="s">
        <v>43</v>
      </c>
      <c r="AD721" t="s">
        <v>48</v>
      </c>
      <c r="AE721" t="s">
        <v>45</v>
      </c>
    </row>
    <row r="722">
      <c r="A722">
        <v>805861</v>
      </c>
      <c r="B722">
        <v>805861</v>
      </c>
      <c r="C722" t="s">
        <v>1102</v>
      </c>
      <c r="D722" t="s">
        <v>1066</v>
      </c>
      <c r="E722" t="s">
        <v>96</v>
      </c>
      <c r="F722" s="1">
        <v>2.75</v>
      </c>
      <c r="G722" s="2">
        <v>0.4</v>
      </c>
      <c r="H722" s="2">
        <v>0.512</v>
      </c>
      <c r="I722" s="1">
        <v>3.85</v>
      </c>
      <c r="J722" s="1">
        <f>IF(AND(ISNUMBER(F722),ISNUMBER(H722)),ROUND(F722*(1+H722),2),"")</f>
        <v>4.16</v>
      </c>
      <c r="K722" s="2">
        <f>IF(AND(ISNUMBER(I722),I722&gt;0,ISNUMBER(J722)),J722/I722-1,"")</f>
        <v>0.08051948051948044</v>
      </c>
      <c r="L722" t="s">
        <v>38</v>
      </c>
      <c r="N722" s="1" t="s">
        <f>IF(AND(ISNUMBER(U722),U722&gt;0,ISNUMBER(J722)),ROUND(J722/U722,2),"")</f>
        <v>39</v>
      </c>
      <c r="Q722" t="s">
        <v>40</v>
      </c>
      <c r="R722" t="s">
        <v>39</v>
      </c>
      <c r="S722">
        <v>526919</v>
      </c>
      <c r="T722">
        <v>526919</v>
      </c>
      <c r="X722" t="s">
        <v>41</v>
      </c>
      <c r="Z722" s="1">
        <v>3.85</v>
      </c>
      <c r="AA722" s="1">
        <f>IF(AND(ISNUMBER(Z722),ISNUMBER(I722),I722&gt;0,ISNUMBER(J722)),ROUND(Z722*J722/I722,2),"")</f>
        <v>4.16</v>
      </c>
      <c r="AB722" t="s">
        <v>42</v>
      </c>
      <c r="AC722" t="s">
        <v>43</v>
      </c>
      <c r="AD722" t="s">
        <v>48</v>
      </c>
      <c r="AE722" t="s">
        <v>45</v>
      </c>
    </row>
    <row r="723">
      <c r="A723">
        <v>805995</v>
      </c>
      <c r="B723">
        <v>805995</v>
      </c>
      <c r="C723" t="s">
        <v>1103</v>
      </c>
      <c r="D723" t="s">
        <v>1066</v>
      </c>
      <c r="E723" t="s">
        <v>96</v>
      </c>
      <c r="F723" s="1">
        <v>2</v>
      </c>
      <c r="G723" s="2">
        <v>0.4</v>
      </c>
      <c r="H723" s="2">
        <v>0.512</v>
      </c>
      <c r="I723" s="1">
        <v>2.8</v>
      </c>
      <c r="J723" s="1">
        <f>IF(AND(ISNUMBER(F723),ISNUMBER(H723)),ROUND(F723*(1+H723),2),"")</f>
        <v>3.02</v>
      </c>
      <c r="K723" s="2">
        <f>IF(AND(ISNUMBER(I723),I723&gt;0,ISNUMBER(J723)),J723/I723-1,"")</f>
        <v>0.07857142857142874</v>
      </c>
      <c r="L723" t="s">
        <v>38</v>
      </c>
      <c r="N723" s="1" t="s">
        <f>IF(AND(ISNUMBER(U723),U723&gt;0,ISNUMBER(J723)),ROUND(J723/U723,2),"")</f>
        <v>39</v>
      </c>
      <c r="Q723" t="s">
        <v>40</v>
      </c>
      <c r="R723" t="s">
        <v>39</v>
      </c>
      <c r="S723">
        <v>527055</v>
      </c>
      <c r="T723">
        <v>527055</v>
      </c>
      <c r="X723" t="s">
        <v>41</v>
      </c>
      <c r="Z723" s="1">
        <v>2.8</v>
      </c>
      <c r="AA723" s="1">
        <f>IF(AND(ISNUMBER(Z723),ISNUMBER(I723),I723&gt;0,ISNUMBER(J723)),ROUND(Z723*J723/I723,2),"")</f>
        <v>3.02</v>
      </c>
      <c r="AB723" t="s">
        <v>42</v>
      </c>
      <c r="AC723" t="s">
        <v>43</v>
      </c>
      <c r="AD723" t="s">
        <v>48</v>
      </c>
      <c r="AE723" t="s">
        <v>45</v>
      </c>
    </row>
    <row r="724">
      <c r="A724">
        <v>1005219</v>
      </c>
      <c r="B724">
        <v>1005219</v>
      </c>
      <c r="C724" t="s">
        <v>140</v>
      </c>
      <c r="D724" t="s">
        <v>1066</v>
      </c>
      <c r="E724" t="s">
        <v>100</v>
      </c>
      <c r="F724" s="1">
        <v>1.5</v>
      </c>
      <c r="G724" s="2">
        <v>0.4</v>
      </c>
      <c r="H724" s="2">
        <v>0.512</v>
      </c>
      <c r="I724" s="1">
        <v>2.1</v>
      </c>
      <c r="J724" s="1">
        <f>IF(AND(ISNUMBER(F724),ISNUMBER(H724)),ROUND(F724*(1+H724),2),"")</f>
        <v>2.27</v>
      </c>
      <c r="K724" s="2">
        <f>IF(AND(ISNUMBER(I724),I724&gt;0,ISNUMBER(J724)),J724/I724-1,"")</f>
        <v>0.08095238095238089</v>
      </c>
      <c r="L724" t="s">
        <v>38</v>
      </c>
      <c r="M724" s="1">
        <v>2.1</v>
      </c>
      <c r="N724" s="1">
        <f>IF(AND(ISNUMBER(U724),U724&gt;0,ISNUMBER(J724)),ROUND(J724/U724,2),"")</f>
        <v>2.27</v>
      </c>
      <c r="Q724" t="s">
        <v>40</v>
      </c>
      <c r="R724" t="s">
        <v>39</v>
      </c>
      <c r="S724">
        <v>785523</v>
      </c>
      <c r="T724">
        <v>785523</v>
      </c>
      <c r="U724" s="3">
        <v>1</v>
      </c>
      <c r="X724" t="s">
        <v>41</v>
      </c>
      <c r="Z724" s="1">
        <v>2.1</v>
      </c>
      <c r="AA724" s="1">
        <f>IF(AND(ISNUMBER(Z724),ISNUMBER(I724),I724&gt;0,ISNUMBER(J724)),ROUND(Z724*J724/I724,2),"")</f>
        <v>2.27</v>
      </c>
      <c r="AB724" t="s">
        <v>42</v>
      </c>
      <c r="AC724" t="s">
        <v>43</v>
      </c>
      <c r="AD724" t="s">
        <v>48</v>
      </c>
      <c r="AE724" t="s">
        <v>45</v>
      </c>
    </row>
    <row r="725">
      <c r="A725">
        <v>912556</v>
      </c>
      <c r="B725">
        <v>912556</v>
      </c>
      <c r="C725" t="s">
        <v>1104</v>
      </c>
      <c r="D725" t="s">
        <v>1066</v>
      </c>
      <c r="E725" t="s">
        <v>63</v>
      </c>
      <c r="F725" s="1">
        <v>2</v>
      </c>
      <c r="G725" s="2">
        <v>0.4</v>
      </c>
      <c r="H725" s="2">
        <v>0.512</v>
      </c>
      <c r="I725" s="1">
        <v>2.8</v>
      </c>
      <c r="J725" s="1">
        <f>IF(AND(ISNUMBER(F725),ISNUMBER(H725)),ROUND(F725*(1+H725),2),"")</f>
        <v>3.02</v>
      </c>
      <c r="K725" s="2">
        <f>IF(AND(ISNUMBER(I725),I725&gt;0,ISNUMBER(J725)),J725/I725-1,"")</f>
        <v>0.07857142857142874</v>
      </c>
      <c r="L725" t="s">
        <v>38</v>
      </c>
      <c r="N725" s="1" t="s">
        <f>IF(AND(ISNUMBER(U725),U725&gt;0,ISNUMBER(J725)),ROUND(J725/U725,2),"")</f>
        <v>39</v>
      </c>
      <c r="Q725" t="s">
        <v>40</v>
      </c>
      <c r="R725" t="s">
        <v>39</v>
      </c>
      <c r="S725">
        <v>657843</v>
      </c>
      <c r="T725">
        <v>657843</v>
      </c>
      <c r="X725" t="s">
        <v>41</v>
      </c>
      <c r="Z725" s="1">
        <v>2.8</v>
      </c>
      <c r="AA725" s="1">
        <f>IF(AND(ISNUMBER(Z725),ISNUMBER(I725),I725&gt;0,ISNUMBER(J725)),ROUND(Z725*J725/I725,2),"")</f>
        <v>3.02</v>
      </c>
      <c r="AB725" t="s">
        <v>42</v>
      </c>
      <c r="AC725" t="s">
        <v>43</v>
      </c>
      <c r="AD725" t="s">
        <v>48</v>
      </c>
      <c r="AE725" t="s">
        <v>45</v>
      </c>
    </row>
    <row r="726">
      <c r="A726">
        <v>976636</v>
      </c>
      <c r="B726">
        <v>976636</v>
      </c>
      <c r="C726" t="s">
        <v>1105</v>
      </c>
      <c r="D726" t="s">
        <v>1066</v>
      </c>
      <c r="E726" t="s">
        <v>63</v>
      </c>
      <c r="F726" s="1">
        <v>2</v>
      </c>
      <c r="G726" s="2">
        <v>0.4</v>
      </c>
      <c r="H726" s="2">
        <v>0.512</v>
      </c>
      <c r="I726" s="1">
        <v>2.8</v>
      </c>
      <c r="J726" s="1">
        <f>IF(AND(ISNUMBER(F726),ISNUMBER(H726)),ROUND(F726*(1+H726),2),"")</f>
        <v>3.02</v>
      </c>
      <c r="K726" s="2">
        <f>IF(AND(ISNUMBER(I726),I726&gt;0,ISNUMBER(J726)),J726/I726-1,"")</f>
        <v>0.07857142857142874</v>
      </c>
      <c r="L726" t="s">
        <v>38</v>
      </c>
      <c r="N726" s="1" t="s">
        <f>IF(AND(ISNUMBER(U726),U726&gt;0,ISNUMBER(J726)),ROUND(J726/U726,2),"")</f>
        <v>39</v>
      </c>
      <c r="Q726" t="s">
        <v>40</v>
      </c>
      <c r="R726" t="s">
        <v>39</v>
      </c>
      <c r="S726">
        <v>742475</v>
      </c>
      <c r="T726">
        <v>742475</v>
      </c>
      <c r="X726" t="s">
        <v>41</v>
      </c>
      <c r="Z726" s="1">
        <v>2.8</v>
      </c>
      <c r="AA726" s="1">
        <f>IF(AND(ISNUMBER(Z726),ISNUMBER(I726),I726&gt;0,ISNUMBER(J726)),ROUND(Z726*J726/I726,2),"")</f>
        <v>3.02</v>
      </c>
      <c r="AB726" t="s">
        <v>42</v>
      </c>
      <c r="AC726" t="s">
        <v>43</v>
      </c>
      <c r="AD726" t="s">
        <v>44</v>
      </c>
      <c r="AE726" t="s">
        <v>45</v>
      </c>
    </row>
    <row r="727">
      <c r="A727">
        <v>874466</v>
      </c>
      <c r="B727">
        <v>874466</v>
      </c>
      <c r="C727" t="s">
        <v>1106</v>
      </c>
      <c r="D727" t="s">
        <v>1066</v>
      </c>
      <c r="E727" t="s">
        <v>63</v>
      </c>
      <c r="F727" s="1">
        <v>1.75</v>
      </c>
      <c r="G727" s="2">
        <v>0.4</v>
      </c>
      <c r="H727" s="2">
        <v>0.512</v>
      </c>
      <c r="I727" s="1">
        <v>2.45</v>
      </c>
      <c r="J727" s="1">
        <f>IF(AND(ISNUMBER(F727),ISNUMBER(H727)),ROUND(F727*(1+H727),2),"")</f>
        <v>2.65</v>
      </c>
      <c r="K727" s="2">
        <f>IF(AND(ISNUMBER(I727),I727&gt;0,ISNUMBER(J727)),J727/I727-1,"")</f>
        <v>0.08163265306122436</v>
      </c>
      <c r="L727" t="s">
        <v>38</v>
      </c>
      <c r="N727" s="1" t="s">
        <f>IF(AND(ISNUMBER(U727),U727&gt;0,ISNUMBER(J727)),ROUND(J727/U727,2),"")</f>
        <v>39</v>
      </c>
      <c r="Q727" t="s">
        <v>40</v>
      </c>
      <c r="R727" t="s">
        <v>39</v>
      </c>
      <c r="S727">
        <v>608582</v>
      </c>
      <c r="T727">
        <v>608582</v>
      </c>
      <c r="X727" t="s">
        <v>41</v>
      </c>
      <c r="Z727" s="1">
        <v>2.45</v>
      </c>
      <c r="AA727" s="1">
        <f>IF(AND(ISNUMBER(Z727),ISNUMBER(I727),I727&gt;0,ISNUMBER(J727)),ROUND(Z727*J727/I727,2),"")</f>
        <v>2.65</v>
      </c>
      <c r="AB727" t="s">
        <v>42</v>
      </c>
      <c r="AC727" t="s">
        <v>43</v>
      </c>
      <c r="AD727" t="s">
        <v>48</v>
      </c>
      <c r="AE727" t="s">
        <v>45</v>
      </c>
    </row>
    <row r="728">
      <c r="A728">
        <v>805991</v>
      </c>
      <c r="B728">
        <v>805991</v>
      </c>
      <c r="C728" t="s">
        <v>1107</v>
      </c>
      <c r="D728" t="s">
        <v>1066</v>
      </c>
      <c r="E728" t="s">
        <v>96</v>
      </c>
      <c r="F728" s="1">
        <v>2.35</v>
      </c>
      <c r="G728" s="2">
        <v>0.4</v>
      </c>
      <c r="H728" s="2">
        <v>0.512</v>
      </c>
      <c r="I728" s="1">
        <v>3.29</v>
      </c>
      <c r="J728" s="1">
        <f>IF(AND(ISNUMBER(F728),ISNUMBER(H728)),ROUND(F728*(1+H728),2),"")</f>
        <v>3.55</v>
      </c>
      <c r="K728" s="2">
        <f>IF(AND(ISNUMBER(I728),I728&gt;0,ISNUMBER(J728)),J728/I728-1,"")</f>
        <v>0.07902735562310026</v>
      </c>
      <c r="L728" t="s">
        <v>38</v>
      </c>
      <c r="N728" s="1" t="s">
        <f>IF(AND(ISNUMBER(U728),U728&gt;0,ISNUMBER(J728)),ROUND(J728/U728,2),"")</f>
        <v>39</v>
      </c>
      <c r="Q728" t="s">
        <v>40</v>
      </c>
      <c r="R728" t="s">
        <v>39</v>
      </c>
      <c r="S728">
        <v>527051</v>
      </c>
      <c r="T728">
        <v>527051</v>
      </c>
      <c r="X728" t="s">
        <v>41</v>
      </c>
      <c r="Z728" s="1">
        <v>3.29</v>
      </c>
      <c r="AA728" s="1">
        <f>IF(AND(ISNUMBER(Z728),ISNUMBER(I728),I728&gt;0,ISNUMBER(J728)),ROUND(Z728*J728/I728,2),"")</f>
        <v>3.55</v>
      </c>
      <c r="AB728" t="s">
        <v>42</v>
      </c>
      <c r="AC728" t="s">
        <v>43</v>
      </c>
      <c r="AD728" t="s">
        <v>44</v>
      </c>
      <c r="AE728" t="s">
        <v>45</v>
      </c>
    </row>
    <row r="729">
      <c r="A729">
        <v>1091676</v>
      </c>
      <c r="B729">
        <v>1091676</v>
      </c>
      <c r="C729" t="s">
        <v>1108</v>
      </c>
      <c r="D729" t="s">
        <v>1066</v>
      </c>
      <c r="E729" t="s">
        <v>96</v>
      </c>
      <c r="F729" s="1">
        <v>2</v>
      </c>
      <c r="G729" s="2">
        <v>0.4</v>
      </c>
      <c r="H729" s="2">
        <v>0.512</v>
      </c>
      <c r="I729" s="1">
        <v>2.8</v>
      </c>
      <c r="J729" s="1">
        <f>IF(AND(ISNUMBER(F729),ISNUMBER(H729)),ROUND(F729*(1+H729),2),"")</f>
        <v>3.02</v>
      </c>
      <c r="K729" s="2">
        <f>IF(AND(ISNUMBER(I729),I729&gt;0,ISNUMBER(J729)),J729/I729-1,"")</f>
        <v>0.07857142857142874</v>
      </c>
      <c r="L729" t="s">
        <v>38</v>
      </c>
      <c r="N729" s="1" t="s">
        <f>IF(AND(ISNUMBER(U729),U729&gt;0,ISNUMBER(J729)),ROUND(J729/U729,2),"")</f>
        <v>39</v>
      </c>
      <c r="Q729" t="s">
        <v>40</v>
      </c>
      <c r="R729" t="s">
        <v>39</v>
      </c>
      <c r="S729">
        <v>905380</v>
      </c>
      <c r="T729">
        <v>905380</v>
      </c>
      <c r="X729" t="s">
        <v>41</v>
      </c>
      <c r="Z729" s="1">
        <v>2.8</v>
      </c>
      <c r="AA729" s="1">
        <f>IF(AND(ISNUMBER(Z729),ISNUMBER(I729),I729&gt;0,ISNUMBER(J729)),ROUND(Z729*J729/I729,2),"")</f>
        <v>3.02</v>
      </c>
      <c r="AB729" t="s">
        <v>42</v>
      </c>
      <c r="AC729" t="s">
        <v>43</v>
      </c>
      <c r="AD729" t="s">
        <v>48</v>
      </c>
      <c r="AE729" t="s">
        <v>45</v>
      </c>
    </row>
    <row r="730">
      <c r="A730">
        <v>874465</v>
      </c>
      <c r="B730">
        <v>874465</v>
      </c>
      <c r="C730" t="s">
        <v>1109</v>
      </c>
      <c r="D730" t="s">
        <v>1066</v>
      </c>
      <c r="E730" t="s">
        <v>1110</v>
      </c>
      <c r="F730" s="1">
        <v>4.25</v>
      </c>
      <c r="G730" s="2">
        <v>0.4</v>
      </c>
      <c r="H730" s="2">
        <v>0.512</v>
      </c>
      <c r="I730" s="1">
        <v>5.95</v>
      </c>
      <c r="J730" s="1">
        <f>IF(AND(ISNUMBER(F730),ISNUMBER(H730)),ROUND(F730*(1+H730),2),"")</f>
        <v>6.43</v>
      </c>
      <c r="K730" s="2">
        <f>IF(AND(ISNUMBER(I730),I730&gt;0,ISNUMBER(J730)),J730/I730-1,"")</f>
        <v>0.08067226890756296</v>
      </c>
      <c r="L730" t="s">
        <v>38</v>
      </c>
      <c r="M730" s="1">
        <v>11.9</v>
      </c>
      <c r="N730" s="1">
        <f>IF(AND(ISNUMBER(U730),U730&gt;0,ISNUMBER(J730)),ROUND(J730/U730,2),"")</f>
        <v>12.86</v>
      </c>
      <c r="Q730" t="s">
        <v>40</v>
      </c>
      <c r="R730" t="s">
        <v>39</v>
      </c>
      <c r="S730">
        <v>608581</v>
      </c>
      <c r="T730">
        <v>608581</v>
      </c>
      <c r="U730" s="3">
        <v>0.5</v>
      </c>
      <c r="X730" t="s">
        <v>41</v>
      </c>
      <c r="Z730" s="1">
        <v>5.95</v>
      </c>
      <c r="AA730" s="1">
        <f>IF(AND(ISNUMBER(Z730),ISNUMBER(I730),I730&gt;0,ISNUMBER(J730)),ROUND(Z730*J730/I730,2),"")</f>
        <v>6.43</v>
      </c>
      <c r="AB730" t="s">
        <v>42</v>
      </c>
      <c r="AC730" t="s">
        <v>43</v>
      </c>
      <c r="AD730" t="s">
        <v>44</v>
      </c>
      <c r="AE730" t="s">
        <v>45</v>
      </c>
    </row>
    <row r="731">
      <c r="A731">
        <v>890655</v>
      </c>
      <c r="B731">
        <v>890655</v>
      </c>
      <c r="C731" t="s">
        <v>1111</v>
      </c>
      <c r="D731" t="s">
        <v>1066</v>
      </c>
      <c r="E731" t="s">
        <v>147</v>
      </c>
      <c r="F731" s="1">
        <v>3.75</v>
      </c>
      <c r="G731" s="2">
        <v>0.4</v>
      </c>
      <c r="H731" s="2">
        <v>0.512</v>
      </c>
      <c r="I731" s="1">
        <v>5.25</v>
      </c>
      <c r="J731" s="1">
        <f>IF(AND(ISNUMBER(F731),ISNUMBER(H731)),ROUND(F731*(1+H731),2),"")</f>
        <v>5.67</v>
      </c>
      <c r="K731" s="2">
        <f>IF(AND(ISNUMBER(I731),I731&gt;0,ISNUMBER(J731)),J731/I731-1,"")</f>
        <v>0.08000000000000007</v>
      </c>
      <c r="L731" t="s">
        <v>38</v>
      </c>
      <c r="M731" s="1">
        <v>10.5</v>
      </c>
      <c r="N731" s="1">
        <f>IF(AND(ISNUMBER(U731),U731&gt;0,ISNUMBER(J731)),ROUND(J731/U731,2),"")</f>
        <v>11.34</v>
      </c>
      <c r="Q731" t="s">
        <v>40</v>
      </c>
      <c r="R731" t="s">
        <v>39</v>
      </c>
      <c r="S731">
        <v>630144</v>
      </c>
      <c r="T731">
        <v>630144</v>
      </c>
      <c r="U731" s="3">
        <v>0.5</v>
      </c>
      <c r="X731" t="s">
        <v>41</v>
      </c>
      <c r="Z731" s="1">
        <v>5.25</v>
      </c>
      <c r="AA731" s="1">
        <f>IF(AND(ISNUMBER(Z731),ISNUMBER(I731),I731&gt;0,ISNUMBER(J731)),ROUND(Z731*J731/I731,2),"")</f>
        <v>5.67</v>
      </c>
      <c r="AB731" t="s">
        <v>42</v>
      </c>
      <c r="AC731" t="s">
        <v>43</v>
      </c>
      <c r="AD731" t="s">
        <v>48</v>
      </c>
      <c r="AE731" t="s">
        <v>45</v>
      </c>
    </row>
    <row r="732">
      <c r="A732">
        <v>805932</v>
      </c>
      <c r="B732">
        <v>805932</v>
      </c>
      <c r="C732" t="s">
        <v>1036</v>
      </c>
      <c r="D732" t="s">
        <v>1066</v>
      </c>
      <c r="E732" t="s">
        <v>100</v>
      </c>
      <c r="F732" s="1">
        <v>4</v>
      </c>
      <c r="G732" s="2">
        <v>0.4</v>
      </c>
      <c r="H732" s="2">
        <v>0.512</v>
      </c>
      <c r="I732" s="1">
        <v>5.6</v>
      </c>
      <c r="J732" s="1">
        <f>IF(AND(ISNUMBER(F732),ISNUMBER(H732)),ROUND(F732*(1+H732),2),"")</f>
        <v>6.05</v>
      </c>
      <c r="K732" s="2">
        <f>IF(AND(ISNUMBER(I732),I732&gt;0,ISNUMBER(J732)),J732/I732-1,"")</f>
        <v>0.0803571428571428</v>
      </c>
      <c r="L732" t="s">
        <v>38</v>
      </c>
      <c r="M732" s="1">
        <v>5.6</v>
      </c>
      <c r="N732" s="1">
        <f>IF(AND(ISNUMBER(U732),U732&gt;0,ISNUMBER(J732)),ROUND(J732/U732,2),"")</f>
        <v>6.05</v>
      </c>
      <c r="Q732" t="s">
        <v>40</v>
      </c>
      <c r="R732" t="s">
        <v>39</v>
      </c>
      <c r="S732">
        <v>526992</v>
      </c>
      <c r="T732">
        <v>526992</v>
      </c>
      <c r="U732" s="3">
        <v>1</v>
      </c>
      <c r="X732" t="s">
        <v>41</v>
      </c>
      <c r="Z732" s="1">
        <v>5.6</v>
      </c>
      <c r="AA732" s="1">
        <f>IF(AND(ISNUMBER(Z732),ISNUMBER(I732),I732&gt;0,ISNUMBER(J732)),ROUND(Z732*J732/I732,2),"")</f>
        <v>6.05</v>
      </c>
      <c r="AB732" t="s">
        <v>42</v>
      </c>
      <c r="AC732" t="s">
        <v>43</v>
      </c>
      <c r="AD732" t="s">
        <v>48</v>
      </c>
      <c r="AE732" t="s">
        <v>45</v>
      </c>
    </row>
    <row r="733">
      <c r="A733">
        <v>890653</v>
      </c>
      <c r="B733">
        <v>890653</v>
      </c>
      <c r="C733" t="s">
        <v>1112</v>
      </c>
      <c r="D733" t="s">
        <v>1066</v>
      </c>
      <c r="E733" t="s">
        <v>98</v>
      </c>
      <c r="F733" s="1">
        <v>2</v>
      </c>
      <c r="G733" s="2">
        <v>0.4</v>
      </c>
      <c r="H733" s="2">
        <v>0.512</v>
      </c>
      <c r="I733" s="1">
        <v>2.8</v>
      </c>
      <c r="J733" s="1">
        <f>IF(AND(ISNUMBER(F733),ISNUMBER(H733)),ROUND(F733*(1+H733),2),"")</f>
        <v>3.02</v>
      </c>
      <c r="K733" s="2">
        <f>IF(AND(ISNUMBER(I733),I733&gt;0,ISNUMBER(J733)),J733/I733-1,"")</f>
        <v>0.07857142857142874</v>
      </c>
      <c r="L733" t="s">
        <v>38</v>
      </c>
      <c r="N733" s="1" t="s">
        <f>IF(AND(ISNUMBER(U733),U733&gt;0,ISNUMBER(J733)),ROUND(J733/U733,2),"")</f>
        <v>39</v>
      </c>
      <c r="Q733" t="s">
        <v>40</v>
      </c>
      <c r="R733" t="s">
        <v>39</v>
      </c>
      <c r="S733">
        <v>630142</v>
      </c>
      <c r="T733">
        <v>630142</v>
      </c>
      <c r="X733" t="s">
        <v>41</v>
      </c>
      <c r="Z733" s="1">
        <v>2.8</v>
      </c>
      <c r="AA733" s="1">
        <f>IF(AND(ISNUMBER(Z733),ISNUMBER(I733),I733&gt;0,ISNUMBER(J733)),ROUND(Z733*J733/I733,2),"")</f>
        <v>3.02</v>
      </c>
      <c r="AB733" t="s">
        <v>42</v>
      </c>
      <c r="AC733" t="s">
        <v>43</v>
      </c>
      <c r="AD733" t="s">
        <v>48</v>
      </c>
      <c r="AE733" t="s">
        <v>45</v>
      </c>
    </row>
    <row r="734">
      <c r="A734">
        <v>805928</v>
      </c>
      <c r="B734">
        <v>805928</v>
      </c>
      <c r="C734" t="s">
        <v>1113</v>
      </c>
      <c r="D734" t="s">
        <v>1066</v>
      </c>
      <c r="E734" t="s">
        <v>98</v>
      </c>
      <c r="F734" s="1">
        <v>2.5</v>
      </c>
      <c r="G734" s="2">
        <v>0.4</v>
      </c>
      <c r="H734" s="2">
        <v>0.512</v>
      </c>
      <c r="I734" s="1">
        <v>3.5</v>
      </c>
      <c r="J734" s="1">
        <f>IF(AND(ISNUMBER(F734),ISNUMBER(H734)),ROUND(F734*(1+H734),2),"")</f>
        <v>3.78</v>
      </c>
      <c r="K734" s="2">
        <f>IF(AND(ISNUMBER(I734),I734&gt;0,ISNUMBER(J734)),J734/I734-1,"")</f>
        <v>0.07999999999999985</v>
      </c>
      <c r="L734" t="s">
        <v>38</v>
      </c>
      <c r="N734" s="1" t="s">
        <f>IF(AND(ISNUMBER(U734),U734&gt;0,ISNUMBER(J734)),ROUND(J734/U734,2),"")</f>
        <v>39</v>
      </c>
      <c r="Q734" t="s">
        <v>40</v>
      </c>
      <c r="R734" t="s">
        <v>39</v>
      </c>
      <c r="S734">
        <v>526988</v>
      </c>
      <c r="T734">
        <v>526988</v>
      </c>
      <c r="X734" t="s">
        <v>41</v>
      </c>
      <c r="Z734" s="1">
        <v>3.5</v>
      </c>
      <c r="AA734" s="1">
        <f>IF(AND(ISNUMBER(Z734),ISNUMBER(I734),I734&gt;0,ISNUMBER(J734)),ROUND(Z734*J734/I734,2),"")</f>
        <v>3.78</v>
      </c>
      <c r="AB734" t="s">
        <v>42</v>
      </c>
      <c r="AC734" t="s">
        <v>43</v>
      </c>
      <c r="AD734" t="s">
        <v>48</v>
      </c>
      <c r="AE734" t="s">
        <v>45</v>
      </c>
    </row>
    <row r="735">
      <c r="A735">
        <v>890650</v>
      </c>
      <c r="B735">
        <v>890650</v>
      </c>
      <c r="C735" t="s">
        <v>1114</v>
      </c>
      <c r="D735" t="s">
        <v>1066</v>
      </c>
      <c r="E735" t="s">
        <v>98</v>
      </c>
      <c r="F735" s="1">
        <v>2</v>
      </c>
      <c r="G735" s="2">
        <v>0.4</v>
      </c>
      <c r="H735" s="2">
        <v>0.512</v>
      </c>
      <c r="I735" s="1">
        <v>2.8</v>
      </c>
      <c r="J735" s="1">
        <f>IF(AND(ISNUMBER(F735),ISNUMBER(H735)),ROUND(F735*(1+H735),2),"")</f>
        <v>3.02</v>
      </c>
      <c r="K735" s="2">
        <f>IF(AND(ISNUMBER(I735),I735&gt;0,ISNUMBER(J735)),J735/I735-1,"")</f>
        <v>0.07857142857142874</v>
      </c>
      <c r="L735" t="s">
        <v>38</v>
      </c>
      <c r="N735" s="1" t="s">
        <f>IF(AND(ISNUMBER(U735),U735&gt;0,ISNUMBER(J735)),ROUND(J735/U735,2),"")</f>
        <v>39</v>
      </c>
      <c r="Q735" t="s">
        <v>40</v>
      </c>
      <c r="R735" t="s">
        <v>39</v>
      </c>
      <c r="S735">
        <v>630139</v>
      </c>
      <c r="T735">
        <v>630139</v>
      </c>
      <c r="X735" t="s">
        <v>41</v>
      </c>
      <c r="Z735" s="1">
        <v>2.8</v>
      </c>
      <c r="AA735" s="1">
        <f>IF(AND(ISNUMBER(Z735),ISNUMBER(I735),I735&gt;0,ISNUMBER(J735)),ROUND(Z735*J735/I735,2),"")</f>
        <v>3.02</v>
      </c>
      <c r="AB735" t="s">
        <v>42</v>
      </c>
      <c r="AC735" t="s">
        <v>43</v>
      </c>
      <c r="AD735" t="s">
        <v>48</v>
      </c>
      <c r="AE735" t="s">
        <v>45</v>
      </c>
    </row>
    <row r="736">
      <c r="A736">
        <v>805842</v>
      </c>
      <c r="B736">
        <v>805842</v>
      </c>
      <c r="C736" t="s">
        <v>1043</v>
      </c>
      <c r="D736" t="s">
        <v>1066</v>
      </c>
      <c r="E736" t="s">
        <v>147</v>
      </c>
      <c r="F736" s="1">
        <v>3.5</v>
      </c>
      <c r="G736" s="2">
        <v>0.4</v>
      </c>
      <c r="H736" s="2">
        <v>0.512</v>
      </c>
      <c r="I736" s="1">
        <v>4.9</v>
      </c>
      <c r="J736" s="1">
        <f>IF(AND(ISNUMBER(F736),ISNUMBER(H736)),ROUND(F736*(1+H736),2),"")</f>
        <v>5.29</v>
      </c>
      <c r="K736" s="2">
        <f>IF(AND(ISNUMBER(I736),I736&gt;0,ISNUMBER(J736)),J736/I736-1,"")</f>
        <v>0.07959183673469372</v>
      </c>
      <c r="L736" t="s">
        <v>38</v>
      </c>
      <c r="M736" s="1">
        <v>9.8</v>
      </c>
      <c r="N736" s="1">
        <f>IF(AND(ISNUMBER(U736),U736&gt;0,ISNUMBER(J736)),ROUND(J736/U736,2),"")</f>
        <v>10.58</v>
      </c>
      <c r="Q736" t="s">
        <v>40</v>
      </c>
      <c r="R736" t="s">
        <v>39</v>
      </c>
      <c r="S736">
        <v>526900</v>
      </c>
      <c r="T736">
        <v>526900</v>
      </c>
      <c r="U736" s="3">
        <v>0.5</v>
      </c>
      <c r="X736" t="s">
        <v>41</v>
      </c>
      <c r="Z736" s="1">
        <v>4.9</v>
      </c>
      <c r="AA736" s="1">
        <f>IF(AND(ISNUMBER(Z736),ISNUMBER(I736),I736&gt;0,ISNUMBER(J736)),ROUND(Z736*J736/I736,2),"")</f>
        <v>5.29</v>
      </c>
      <c r="AB736" t="s">
        <v>42</v>
      </c>
      <c r="AC736" t="s">
        <v>43</v>
      </c>
      <c r="AD736" t="s">
        <v>48</v>
      </c>
      <c r="AE736" t="s">
        <v>45</v>
      </c>
    </row>
    <row r="737">
      <c r="A737">
        <v>891642</v>
      </c>
      <c r="B737">
        <v>891642</v>
      </c>
      <c r="C737" t="s">
        <v>839</v>
      </c>
      <c r="D737" t="s">
        <v>1066</v>
      </c>
      <c r="E737" t="s">
        <v>133</v>
      </c>
      <c r="F737" s="1">
        <v>2.7</v>
      </c>
      <c r="G737" s="2">
        <v>0.4</v>
      </c>
      <c r="H737" s="2">
        <v>0.512</v>
      </c>
      <c r="I737" s="1">
        <v>3.78</v>
      </c>
      <c r="J737" s="1">
        <f>IF(AND(ISNUMBER(F737),ISNUMBER(H737)),ROUND(F737*(1+H737),2),"")</f>
        <v>4.08</v>
      </c>
      <c r="K737" s="2">
        <f>IF(AND(ISNUMBER(I737),I737&gt;0,ISNUMBER(J737)),J737/I737-1,"")</f>
        <v>0.07936507936507953</v>
      </c>
      <c r="L737" t="s">
        <v>38</v>
      </c>
      <c r="N737" s="1" t="s">
        <f>IF(AND(ISNUMBER(U737),U737&gt;0,ISNUMBER(J737)),ROUND(J737/U737,2),"")</f>
        <v>39</v>
      </c>
      <c r="Q737" t="s">
        <v>40</v>
      </c>
      <c r="R737" t="s">
        <v>39</v>
      </c>
      <c r="S737">
        <v>631359</v>
      </c>
      <c r="T737">
        <v>631359</v>
      </c>
      <c r="X737" t="s">
        <v>41</v>
      </c>
      <c r="Z737" s="1">
        <v>3.78</v>
      </c>
      <c r="AA737" s="1">
        <f>IF(AND(ISNUMBER(Z737),ISNUMBER(I737),I737&gt;0,ISNUMBER(J737)),ROUND(Z737*J737/I737,2),"")</f>
        <v>4.08</v>
      </c>
      <c r="AB737" t="s">
        <v>42</v>
      </c>
      <c r="AC737" t="s">
        <v>43</v>
      </c>
      <c r="AD737" t="s">
        <v>48</v>
      </c>
      <c r="AE737" t="s">
        <v>45</v>
      </c>
    </row>
    <row r="738">
      <c r="A738">
        <v>906536</v>
      </c>
      <c r="B738">
        <v>906536</v>
      </c>
      <c r="C738" t="s">
        <v>1115</v>
      </c>
      <c r="D738" t="s">
        <v>1066</v>
      </c>
      <c r="E738" t="s">
        <v>98</v>
      </c>
      <c r="F738" s="1">
        <v>2</v>
      </c>
      <c r="G738" s="2">
        <v>0.4</v>
      </c>
      <c r="H738" s="2">
        <v>0.512</v>
      </c>
      <c r="I738" s="1">
        <v>2.8</v>
      </c>
      <c r="J738" s="1">
        <f>IF(AND(ISNUMBER(F738),ISNUMBER(H738)),ROUND(F738*(1+H738),2),"")</f>
        <v>3.02</v>
      </c>
      <c r="K738" s="2">
        <f>IF(AND(ISNUMBER(I738),I738&gt;0,ISNUMBER(J738)),J738/I738-1,"")</f>
        <v>0.07857142857142874</v>
      </c>
      <c r="L738" t="s">
        <v>38</v>
      </c>
      <c r="N738" s="1" t="s">
        <f>IF(AND(ISNUMBER(U738),U738&gt;0,ISNUMBER(J738)),ROUND(J738/U738,2),"")</f>
        <v>39</v>
      </c>
      <c r="Q738" t="s">
        <v>40</v>
      </c>
      <c r="R738" t="s">
        <v>39</v>
      </c>
      <c r="S738">
        <v>650562</v>
      </c>
      <c r="T738">
        <v>650562</v>
      </c>
      <c r="X738" t="s">
        <v>41</v>
      </c>
      <c r="Z738" s="1">
        <v>2.8</v>
      </c>
      <c r="AA738" s="1">
        <f>IF(AND(ISNUMBER(Z738),ISNUMBER(I738),I738&gt;0,ISNUMBER(J738)),ROUND(Z738*J738/I738,2),"")</f>
        <v>3.02</v>
      </c>
      <c r="AB738" t="s">
        <v>42</v>
      </c>
      <c r="AC738" t="s">
        <v>43</v>
      </c>
      <c r="AD738" t="s">
        <v>48</v>
      </c>
      <c r="AE738" t="s">
        <v>45</v>
      </c>
    </row>
    <row r="739">
      <c r="A739">
        <v>812623</v>
      </c>
      <c r="B739">
        <v>812623</v>
      </c>
      <c r="C739" t="s">
        <v>1116</v>
      </c>
      <c r="D739" t="s">
        <v>1066</v>
      </c>
      <c r="E739" t="s">
        <v>63</v>
      </c>
      <c r="F739" s="1">
        <v>1.5</v>
      </c>
      <c r="G739" s="2">
        <v>0.4</v>
      </c>
      <c r="H739" s="2">
        <v>0.512</v>
      </c>
      <c r="I739" s="1">
        <v>2.1</v>
      </c>
      <c r="J739" s="1">
        <f>IF(AND(ISNUMBER(F739),ISNUMBER(H739)),ROUND(F739*(1+H739),2),"")</f>
        <v>2.27</v>
      </c>
      <c r="K739" s="2">
        <f>IF(AND(ISNUMBER(I739),I739&gt;0,ISNUMBER(J739)),J739/I739-1,"")</f>
        <v>0.08095238095238089</v>
      </c>
      <c r="L739" t="s">
        <v>38</v>
      </c>
      <c r="N739" s="1" t="s">
        <f>IF(AND(ISNUMBER(U739),U739&gt;0,ISNUMBER(J739)),ROUND(J739/U739,2),"")</f>
        <v>39</v>
      </c>
      <c r="Q739" t="s">
        <v>40</v>
      </c>
      <c r="R739" t="s">
        <v>39</v>
      </c>
      <c r="S739">
        <v>534491</v>
      </c>
      <c r="T739">
        <v>534491</v>
      </c>
      <c r="X739" t="s">
        <v>41</v>
      </c>
      <c r="Z739" s="1">
        <v>2.1</v>
      </c>
      <c r="AA739" s="1">
        <f>IF(AND(ISNUMBER(Z739),ISNUMBER(I739),I739&gt;0,ISNUMBER(J739)),ROUND(Z739*J739/I739,2),"")</f>
        <v>2.27</v>
      </c>
      <c r="AB739" t="s">
        <v>42</v>
      </c>
      <c r="AC739" t="s">
        <v>43</v>
      </c>
      <c r="AD739" t="s">
        <v>48</v>
      </c>
      <c r="AE739" t="s">
        <v>45</v>
      </c>
    </row>
    <row r="740">
      <c r="A740">
        <v>893267</v>
      </c>
      <c r="B740">
        <v>893267</v>
      </c>
      <c r="C740" t="s">
        <v>1117</v>
      </c>
      <c r="D740" t="s">
        <v>1118</v>
      </c>
      <c r="E740" t="s">
        <v>1119</v>
      </c>
      <c r="F740" s="1">
        <v>8.95</v>
      </c>
      <c r="G740" s="2">
        <v>0.4</v>
      </c>
      <c r="H740" s="2">
        <v>0.512</v>
      </c>
      <c r="I740" s="1">
        <v>12.53</v>
      </c>
      <c r="J740" s="1">
        <f>IF(AND(ISNUMBER(F740),ISNUMBER(H740)),ROUND(F740*(1+H740),2),"")</f>
        <v>13.53</v>
      </c>
      <c r="K740" s="2">
        <f>IF(AND(ISNUMBER(I740),I740&gt;0,ISNUMBER(J740)),J740/I740-1,"")</f>
        <v>0.0798084596967279</v>
      </c>
      <c r="L740" t="s">
        <v>38</v>
      </c>
      <c r="N740" s="1" t="s">
        <f>IF(AND(ISNUMBER(U740),U740&gt;0,ISNUMBER(J740)),ROUND(J740/U740,2),"")</f>
        <v>39</v>
      </c>
      <c r="Q740" t="s">
        <v>40</v>
      </c>
      <c r="R740" t="s">
        <v>39</v>
      </c>
      <c r="S740">
        <v>633209</v>
      </c>
      <c r="T740">
        <v>633209</v>
      </c>
      <c r="X740" t="s">
        <v>41</v>
      </c>
      <c r="Z740" s="1">
        <v>12.53</v>
      </c>
      <c r="AA740" s="1">
        <f>IF(AND(ISNUMBER(Z740),ISNUMBER(I740),I740&gt;0,ISNUMBER(J740)),ROUND(Z740*J740/I740,2),"")</f>
        <v>13.53</v>
      </c>
      <c r="AB740" t="s">
        <v>42</v>
      </c>
      <c r="AC740" t="s">
        <v>43</v>
      </c>
      <c r="AD740" t="s">
        <v>44</v>
      </c>
      <c r="AE740" t="s">
        <v>45</v>
      </c>
    </row>
    <row r="741">
      <c r="A741">
        <v>894790</v>
      </c>
      <c r="B741">
        <v>894790</v>
      </c>
      <c r="C741" t="s">
        <v>1120</v>
      </c>
      <c r="D741" t="s">
        <v>1118</v>
      </c>
      <c r="E741" t="s">
        <v>1119</v>
      </c>
      <c r="F741" s="1">
        <v>16.75</v>
      </c>
      <c r="G741" s="2">
        <v>0.4</v>
      </c>
      <c r="H741" s="2">
        <v>0.512</v>
      </c>
      <c r="I741" s="1">
        <v>23.45</v>
      </c>
      <c r="J741" s="1">
        <f>IF(AND(ISNUMBER(F741),ISNUMBER(H741)),ROUND(F741*(1+H741),2),"")</f>
        <v>25.33</v>
      </c>
      <c r="K741" s="2">
        <f>IF(AND(ISNUMBER(I741),I741&gt;0,ISNUMBER(J741)),J741/I741-1,"")</f>
        <v>0.08017057569296382</v>
      </c>
      <c r="L741" t="s">
        <v>38</v>
      </c>
      <c r="N741" s="1" t="s">
        <f>IF(AND(ISNUMBER(U741),U741&gt;0,ISNUMBER(J741)),ROUND(J741/U741,2),"")</f>
        <v>39</v>
      </c>
      <c r="Q741" t="s">
        <v>40</v>
      </c>
      <c r="R741" t="s">
        <v>39</v>
      </c>
      <c r="S741">
        <v>635197</v>
      </c>
      <c r="T741">
        <v>635197</v>
      </c>
      <c r="X741" t="s">
        <v>41</v>
      </c>
      <c r="Z741" s="1">
        <v>23.45</v>
      </c>
      <c r="AA741" s="1">
        <f>IF(AND(ISNUMBER(Z741),ISNUMBER(I741),I741&gt;0,ISNUMBER(J741)),ROUND(Z741*J741/I741,2),"")</f>
        <v>25.33</v>
      </c>
      <c r="AB741" t="s">
        <v>42</v>
      </c>
      <c r="AC741" t="s">
        <v>43</v>
      </c>
      <c r="AD741" t="s">
        <v>44</v>
      </c>
      <c r="AE741" t="s">
        <v>45</v>
      </c>
    </row>
    <row r="742">
      <c r="A742">
        <v>897027</v>
      </c>
      <c r="B742">
        <v>897027</v>
      </c>
      <c r="C742" t="s">
        <v>1121</v>
      </c>
      <c r="D742" t="s">
        <v>1118</v>
      </c>
      <c r="E742" t="s">
        <v>1122</v>
      </c>
      <c r="F742" s="1">
        <v>5</v>
      </c>
      <c r="G742" s="2">
        <v>0.4</v>
      </c>
      <c r="H742" s="2">
        <v>0.512</v>
      </c>
      <c r="I742" s="1">
        <v>7</v>
      </c>
      <c r="J742" s="1">
        <f>IF(AND(ISNUMBER(F742),ISNUMBER(H742)),ROUND(F742*(1+H742),2),"")</f>
        <v>7.56</v>
      </c>
      <c r="K742" s="2">
        <f>IF(AND(ISNUMBER(I742),I742&gt;0,ISNUMBER(J742)),J742/I742-1,"")</f>
        <v>0.07999999999999985</v>
      </c>
      <c r="L742" t="s">
        <v>38</v>
      </c>
      <c r="N742" s="1" t="s">
        <f>IF(AND(ISNUMBER(U742),U742&gt;0,ISNUMBER(J742)),ROUND(J742/U742,2),"")</f>
        <v>39</v>
      </c>
      <c r="Q742" t="s">
        <v>40</v>
      </c>
      <c r="R742" t="s">
        <v>39</v>
      </c>
      <c r="S742">
        <v>638097</v>
      </c>
      <c r="T742">
        <v>638097</v>
      </c>
      <c r="X742" t="s">
        <v>41</v>
      </c>
      <c r="Z742" s="1">
        <v>7</v>
      </c>
      <c r="AA742" s="1">
        <f>IF(AND(ISNUMBER(Z742),ISNUMBER(I742),I742&gt;0,ISNUMBER(J742)),ROUND(Z742*J742/I742,2),"")</f>
        <v>7.56</v>
      </c>
      <c r="AB742" t="s">
        <v>42</v>
      </c>
      <c r="AC742" t="s">
        <v>43</v>
      </c>
      <c r="AD742" t="s">
        <v>44</v>
      </c>
      <c r="AE742" t="s">
        <v>45</v>
      </c>
    </row>
    <row r="743">
      <c r="A743">
        <v>897010</v>
      </c>
      <c r="B743">
        <v>897010</v>
      </c>
      <c r="C743" t="s">
        <v>1123</v>
      </c>
      <c r="D743" t="s">
        <v>1118</v>
      </c>
      <c r="E743" t="s">
        <v>1124</v>
      </c>
      <c r="F743" s="1">
        <v>7</v>
      </c>
      <c r="G743" s="2">
        <v>0.4</v>
      </c>
      <c r="H743" s="2">
        <v>0.512</v>
      </c>
      <c r="I743" s="1">
        <v>9.8</v>
      </c>
      <c r="J743" s="1">
        <f>IF(AND(ISNUMBER(F743),ISNUMBER(H743)),ROUND(F743*(1+H743),2),"")</f>
        <v>10.58</v>
      </c>
      <c r="K743" s="2">
        <f>IF(AND(ISNUMBER(I743),I743&gt;0,ISNUMBER(J743)),J743/I743-1,"")</f>
        <v>0.07959183673469372</v>
      </c>
      <c r="L743" t="s">
        <v>38</v>
      </c>
      <c r="M743" s="1">
        <v>156.8</v>
      </c>
      <c r="N743" s="1">
        <f>IF(AND(ISNUMBER(U743),U743&gt;0,ISNUMBER(J743)),ROUND(J743/U743,2),"")</f>
        <v>169.28</v>
      </c>
      <c r="Q743" t="s">
        <v>40</v>
      </c>
      <c r="R743" t="s">
        <v>39</v>
      </c>
      <c r="S743">
        <v>638080</v>
      </c>
      <c r="T743">
        <v>638080</v>
      </c>
      <c r="U743" s="3">
        <v>0.0625</v>
      </c>
      <c r="X743" t="s">
        <v>41</v>
      </c>
      <c r="Z743" s="1">
        <v>9.8</v>
      </c>
      <c r="AA743" s="1">
        <f>IF(AND(ISNUMBER(Z743),ISNUMBER(I743),I743&gt;0,ISNUMBER(J743)),ROUND(Z743*J743/I743,2),"")</f>
        <v>10.58</v>
      </c>
      <c r="AB743" t="s">
        <v>42</v>
      </c>
      <c r="AC743" t="s">
        <v>43</v>
      </c>
      <c r="AD743" t="s">
        <v>44</v>
      </c>
      <c r="AE743" t="s">
        <v>45</v>
      </c>
    </row>
    <row r="744">
      <c r="A744">
        <v>806043</v>
      </c>
      <c r="B744">
        <v>806043</v>
      </c>
      <c r="C744" t="s">
        <v>1125</v>
      </c>
      <c r="D744" t="s">
        <v>1118</v>
      </c>
      <c r="E744" t="s">
        <v>1126</v>
      </c>
      <c r="F744" s="1">
        <v>10.95</v>
      </c>
      <c r="G744" s="2">
        <v>0.4</v>
      </c>
      <c r="H744" s="2">
        <v>0.512</v>
      </c>
      <c r="I744" s="1">
        <v>15.33</v>
      </c>
      <c r="J744" s="1">
        <f>IF(AND(ISNUMBER(F744),ISNUMBER(H744)),ROUND(F744*(1+H744),2),"")</f>
        <v>16.56</v>
      </c>
      <c r="K744" s="2">
        <f>IF(AND(ISNUMBER(I744),I744&gt;0,ISNUMBER(J744)),J744/I744-1,"")</f>
        <v>0.08023483365949113</v>
      </c>
      <c r="L744" t="s">
        <v>38</v>
      </c>
      <c r="N744" s="1" t="s">
        <f>IF(AND(ISNUMBER(U744),U744&gt;0,ISNUMBER(J744)),ROUND(J744/U744,2),"")</f>
        <v>39</v>
      </c>
      <c r="Q744" t="s">
        <v>40</v>
      </c>
      <c r="R744" t="s">
        <v>39</v>
      </c>
      <c r="S744">
        <v>527107</v>
      </c>
      <c r="T744">
        <v>527107</v>
      </c>
      <c r="X744" t="s">
        <v>41</v>
      </c>
      <c r="Z744" s="1">
        <v>15.33</v>
      </c>
      <c r="AA744" s="1">
        <f>IF(AND(ISNUMBER(Z744),ISNUMBER(I744),I744&gt;0,ISNUMBER(J744)),ROUND(Z744*J744/I744,2),"")</f>
        <v>16.56</v>
      </c>
      <c r="AB744" t="s">
        <v>42</v>
      </c>
      <c r="AC744" t="s">
        <v>43</v>
      </c>
      <c r="AD744" t="s">
        <v>44</v>
      </c>
      <c r="AE744" t="s">
        <v>45</v>
      </c>
    </row>
    <row r="745">
      <c r="A745">
        <v>894793</v>
      </c>
      <c r="B745">
        <v>894793</v>
      </c>
      <c r="C745" t="s">
        <v>1127</v>
      </c>
      <c r="D745" t="s">
        <v>1118</v>
      </c>
      <c r="E745" t="s">
        <v>1128</v>
      </c>
      <c r="F745" s="1">
        <v>21.95</v>
      </c>
      <c r="G745" s="2">
        <v>0.4</v>
      </c>
      <c r="H745" s="2">
        <v>0.512</v>
      </c>
      <c r="I745" s="1">
        <v>30.73</v>
      </c>
      <c r="J745" s="1">
        <f>IF(AND(ISNUMBER(F745),ISNUMBER(H745)),ROUND(F745*(1+H745),2),"")</f>
        <v>33.19</v>
      </c>
      <c r="K745" s="2">
        <f>IF(AND(ISNUMBER(I745),I745&gt;0,ISNUMBER(J745)),J745/I745-1,"")</f>
        <v>0.08005206638464024</v>
      </c>
      <c r="L745" t="s">
        <v>38</v>
      </c>
      <c r="N745" s="1" t="s">
        <f>IF(AND(ISNUMBER(U745),U745&gt;0,ISNUMBER(J745)),ROUND(J745/U745,2),"")</f>
        <v>39</v>
      </c>
      <c r="Q745" t="s">
        <v>40</v>
      </c>
      <c r="R745" t="s">
        <v>39</v>
      </c>
      <c r="S745">
        <v>635200</v>
      </c>
      <c r="T745">
        <v>635200</v>
      </c>
      <c r="X745" t="s">
        <v>41</v>
      </c>
      <c r="Z745" s="1">
        <v>30.73</v>
      </c>
      <c r="AA745" s="1">
        <f>IF(AND(ISNUMBER(Z745),ISNUMBER(I745),I745&gt;0,ISNUMBER(J745)),ROUND(Z745*J745/I745,2),"")</f>
        <v>33.19</v>
      </c>
      <c r="AB745" t="s">
        <v>42</v>
      </c>
      <c r="AC745" t="s">
        <v>43</v>
      </c>
      <c r="AD745" t="s">
        <v>48</v>
      </c>
      <c r="AE745" t="s">
        <v>45</v>
      </c>
    </row>
    <row r="746">
      <c r="A746">
        <v>806051</v>
      </c>
      <c r="B746">
        <v>806051</v>
      </c>
      <c r="C746" t="s">
        <v>1129</v>
      </c>
      <c r="D746" t="s">
        <v>1118</v>
      </c>
      <c r="E746" t="s">
        <v>1130</v>
      </c>
      <c r="F746" s="1">
        <v>10.95</v>
      </c>
      <c r="G746" s="2">
        <v>0.4</v>
      </c>
      <c r="H746" s="2">
        <v>0.512</v>
      </c>
      <c r="I746" s="1">
        <v>15.33</v>
      </c>
      <c r="J746" s="1">
        <f>IF(AND(ISNUMBER(F746),ISNUMBER(H746)),ROUND(F746*(1+H746),2),"")</f>
        <v>16.56</v>
      </c>
      <c r="K746" s="2">
        <f>IF(AND(ISNUMBER(I746),I746&gt;0,ISNUMBER(J746)),J746/I746-1,"")</f>
        <v>0.08023483365949113</v>
      </c>
      <c r="L746" t="s">
        <v>38</v>
      </c>
      <c r="N746" s="1" t="s">
        <f>IF(AND(ISNUMBER(U746),U746&gt;0,ISNUMBER(J746)),ROUND(J746/U746,2),"")</f>
        <v>39</v>
      </c>
      <c r="Q746" t="s">
        <v>40</v>
      </c>
      <c r="R746" t="s">
        <v>39</v>
      </c>
      <c r="S746">
        <v>527115</v>
      </c>
      <c r="T746">
        <v>527115</v>
      </c>
      <c r="X746" t="s">
        <v>41</v>
      </c>
      <c r="Z746" s="1">
        <v>15.33</v>
      </c>
      <c r="AA746" s="1">
        <f>IF(AND(ISNUMBER(Z746),ISNUMBER(I746),I746&gt;0,ISNUMBER(J746)),ROUND(Z746*J746/I746,2),"")</f>
        <v>16.56</v>
      </c>
      <c r="AB746" t="s">
        <v>42</v>
      </c>
      <c r="AC746" t="s">
        <v>43</v>
      </c>
      <c r="AD746" t="s">
        <v>44</v>
      </c>
      <c r="AE746" t="s">
        <v>45</v>
      </c>
    </row>
    <row r="747">
      <c r="A747">
        <v>894792</v>
      </c>
      <c r="B747">
        <v>894792</v>
      </c>
      <c r="C747" t="s">
        <v>1131</v>
      </c>
      <c r="D747" t="s">
        <v>1118</v>
      </c>
      <c r="E747" t="s">
        <v>1128</v>
      </c>
      <c r="F747" s="1">
        <v>21.95</v>
      </c>
      <c r="G747" s="2">
        <v>0.4</v>
      </c>
      <c r="H747" s="2">
        <v>0.512</v>
      </c>
      <c r="I747" s="1">
        <v>30.73</v>
      </c>
      <c r="J747" s="1">
        <f>IF(AND(ISNUMBER(F747),ISNUMBER(H747)),ROUND(F747*(1+H747),2),"")</f>
        <v>33.19</v>
      </c>
      <c r="K747" s="2">
        <f>IF(AND(ISNUMBER(I747),I747&gt;0,ISNUMBER(J747)),J747/I747-1,"")</f>
        <v>0.08005206638464024</v>
      </c>
      <c r="L747" t="s">
        <v>38</v>
      </c>
      <c r="N747" s="1" t="s">
        <f>IF(AND(ISNUMBER(U747),U747&gt;0,ISNUMBER(J747)),ROUND(J747/U747,2),"")</f>
        <v>39</v>
      </c>
      <c r="Q747" t="s">
        <v>40</v>
      </c>
      <c r="R747" t="s">
        <v>39</v>
      </c>
      <c r="S747">
        <v>635199</v>
      </c>
      <c r="T747">
        <v>635199</v>
      </c>
      <c r="X747" t="s">
        <v>41</v>
      </c>
      <c r="Z747" s="1">
        <v>30.73</v>
      </c>
      <c r="AA747" s="1">
        <f>IF(AND(ISNUMBER(Z747),ISNUMBER(I747),I747&gt;0,ISNUMBER(J747)),ROUND(Z747*J747/I747,2),"")</f>
        <v>33.19</v>
      </c>
      <c r="AB747" t="s">
        <v>42</v>
      </c>
      <c r="AC747" t="s">
        <v>43</v>
      </c>
      <c r="AD747" t="s">
        <v>44</v>
      </c>
      <c r="AE747" t="s">
        <v>45</v>
      </c>
    </row>
    <row r="748">
      <c r="A748">
        <v>897018</v>
      </c>
      <c r="B748">
        <v>897018</v>
      </c>
      <c r="C748" t="s">
        <v>1132</v>
      </c>
      <c r="D748" t="s">
        <v>1118</v>
      </c>
      <c r="E748" t="s">
        <v>1133</v>
      </c>
      <c r="F748" s="1">
        <v>5</v>
      </c>
      <c r="G748" s="2">
        <v>0.4</v>
      </c>
      <c r="H748" s="2">
        <v>0.512</v>
      </c>
      <c r="I748" s="1">
        <v>7</v>
      </c>
      <c r="J748" s="1">
        <f>IF(AND(ISNUMBER(F748),ISNUMBER(H748)),ROUND(F748*(1+H748),2),"")</f>
        <v>7.56</v>
      </c>
      <c r="K748" s="2">
        <f>IF(AND(ISNUMBER(I748),I748&gt;0,ISNUMBER(J748)),J748/I748-1,"")</f>
        <v>0.07999999999999985</v>
      </c>
      <c r="L748" t="s">
        <v>38</v>
      </c>
      <c r="N748" s="1" t="s">
        <f>IF(AND(ISNUMBER(U748),U748&gt;0,ISNUMBER(J748)),ROUND(J748/U748,2),"")</f>
        <v>39</v>
      </c>
      <c r="Q748" t="s">
        <v>40</v>
      </c>
      <c r="R748" t="s">
        <v>39</v>
      </c>
      <c r="S748">
        <v>638088</v>
      </c>
      <c r="T748">
        <v>638088</v>
      </c>
      <c r="X748" t="s">
        <v>41</v>
      </c>
      <c r="Z748" s="1">
        <v>7</v>
      </c>
      <c r="AA748" s="1">
        <f>IF(AND(ISNUMBER(Z748),ISNUMBER(I748),I748&gt;0,ISNUMBER(J748)),ROUND(Z748*J748/I748,2),"")</f>
        <v>7.56</v>
      </c>
      <c r="AB748" t="s">
        <v>42</v>
      </c>
      <c r="AC748" t="s">
        <v>43</v>
      </c>
      <c r="AD748" t="s">
        <v>44</v>
      </c>
      <c r="AE748" t="s">
        <v>45</v>
      </c>
    </row>
    <row r="749">
      <c r="A749">
        <v>897022</v>
      </c>
      <c r="B749">
        <v>897022</v>
      </c>
      <c r="C749" t="s">
        <v>1134</v>
      </c>
      <c r="D749" t="s">
        <v>1118</v>
      </c>
      <c r="E749" t="s">
        <v>1122</v>
      </c>
      <c r="F749" s="1">
        <v>5</v>
      </c>
      <c r="G749" s="2">
        <v>0.4</v>
      </c>
      <c r="H749" s="2">
        <v>0.512</v>
      </c>
      <c r="I749" s="1">
        <v>7</v>
      </c>
      <c r="J749" s="1">
        <f>IF(AND(ISNUMBER(F749),ISNUMBER(H749)),ROUND(F749*(1+H749),2),"")</f>
        <v>7.56</v>
      </c>
      <c r="K749" s="2">
        <f>IF(AND(ISNUMBER(I749),I749&gt;0,ISNUMBER(J749)),J749/I749-1,"")</f>
        <v>0.07999999999999985</v>
      </c>
      <c r="L749" t="s">
        <v>38</v>
      </c>
      <c r="N749" s="1" t="s">
        <f>IF(AND(ISNUMBER(U749),U749&gt;0,ISNUMBER(J749)),ROUND(J749/U749,2),"")</f>
        <v>39</v>
      </c>
      <c r="Q749" t="s">
        <v>40</v>
      </c>
      <c r="R749" t="s">
        <v>39</v>
      </c>
      <c r="S749">
        <v>638092</v>
      </c>
      <c r="T749">
        <v>638092</v>
      </c>
      <c r="X749" t="s">
        <v>41</v>
      </c>
      <c r="Z749" s="1">
        <v>7</v>
      </c>
      <c r="AA749" s="1">
        <f>IF(AND(ISNUMBER(Z749),ISNUMBER(I749),I749&gt;0,ISNUMBER(J749)),ROUND(Z749*J749/I749,2),"")</f>
        <v>7.56</v>
      </c>
      <c r="AB749" t="s">
        <v>42</v>
      </c>
      <c r="AC749" t="s">
        <v>43</v>
      </c>
      <c r="AD749" t="s">
        <v>44</v>
      </c>
      <c r="AE749" t="s">
        <v>45</v>
      </c>
    </row>
    <row r="750">
      <c r="A750">
        <v>897026</v>
      </c>
      <c r="B750">
        <v>897026</v>
      </c>
      <c r="C750" t="s">
        <v>1135</v>
      </c>
      <c r="D750" t="s">
        <v>1118</v>
      </c>
      <c r="E750" t="s">
        <v>1122</v>
      </c>
      <c r="F750" s="1">
        <v>5</v>
      </c>
      <c r="G750" s="2">
        <v>0.4</v>
      </c>
      <c r="H750" s="2">
        <v>0.512</v>
      </c>
      <c r="I750" s="1">
        <v>7</v>
      </c>
      <c r="J750" s="1">
        <f>IF(AND(ISNUMBER(F750),ISNUMBER(H750)),ROUND(F750*(1+H750),2),"")</f>
        <v>7.56</v>
      </c>
      <c r="K750" s="2">
        <f>IF(AND(ISNUMBER(I750),I750&gt;0,ISNUMBER(J750)),J750/I750-1,"")</f>
        <v>0.07999999999999985</v>
      </c>
      <c r="L750" t="s">
        <v>38</v>
      </c>
      <c r="N750" s="1" t="s">
        <f>IF(AND(ISNUMBER(U750),U750&gt;0,ISNUMBER(J750)),ROUND(J750/U750,2),"")</f>
        <v>39</v>
      </c>
      <c r="Q750" t="s">
        <v>40</v>
      </c>
      <c r="R750" t="s">
        <v>39</v>
      </c>
      <c r="S750">
        <v>638096</v>
      </c>
      <c r="T750">
        <v>638096</v>
      </c>
      <c r="X750" t="s">
        <v>41</v>
      </c>
      <c r="Z750" s="1">
        <v>7</v>
      </c>
      <c r="AA750" s="1">
        <f>IF(AND(ISNUMBER(Z750),ISNUMBER(I750),I750&gt;0,ISNUMBER(J750)),ROUND(Z750*J750/I750,2),"")</f>
        <v>7.56</v>
      </c>
      <c r="AB750" t="s">
        <v>42</v>
      </c>
      <c r="AC750" t="s">
        <v>43</v>
      </c>
      <c r="AD750" t="s">
        <v>44</v>
      </c>
      <c r="AE750" t="s">
        <v>45</v>
      </c>
    </row>
    <row r="751">
      <c r="A751">
        <v>975222</v>
      </c>
      <c r="B751">
        <v>975222</v>
      </c>
      <c r="C751" t="s">
        <v>1136</v>
      </c>
      <c r="D751" t="s">
        <v>1137</v>
      </c>
      <c r="E751" t="s">
        <v>63</v>
      </c>
      <c r="F751" s="1">
        <v>7</v>
      </c>
      <c r="G751" s="2">
        <v>0.4</v>
      </c>
      <c r="H751" s="2">
        <v>0.512</v>
      </c>
      <c r="I751" s="1">
        <v>9.8</v>
      </c>
      <c r="J751" s="1">
        <f>IF(AND(ISNUMBER(F751),ISNUMBER(H751)),ROUND(F751*(1+H751),2),"")</f>
        <v>10.58</v>
      </c>
      <c r="K751" s="2">
        <f>IF(AND(ISNUMBER(I751),I751&gt;0,ISNUMBER(J751)),J751/I751-1,"")</f>
        <v>0.07959183673469372</v>
      </c>
      <c r="L751" t="s">
        <v>38</v>
      </c>
      <c r="N751" s="1" t="s">
        <f>IF(AND(ISNUMBER(U751),U751&gt;0,ISNUMBER(J751)),ROUND(J751/U751,2),"")</f>
        <v>39</v>
      </c>
      <c r="Q751" t="s">
        <v>40</v>
      </c>
      <c r="R751" t="s">
        <v>39</v>
      </c>
      <c r="S751">
        <v>740640</v>
      </c>
      <c r="T751">
        <v>740640</v>
      </c>
      <c r="X751" t="s">
        <v>41</v>
      </c>
      <c r="Z751" s="1">
        <v>9.8</v>
      </c>
      <c r="AA751" s="1">
        <f>IF(AND(ISNUMBER(Z751),ISNUMBER(I751),I751&gt;0,ISNUMBER(J751)),ROUND(Z751*J751/I751,2),"")</f>
        <v>10.58</v>
      </c>
      <c r="AB751" t="s">
        <v>42</v>
      </c>
      <c r="AC751" t="s">
        <v>43</v>
      </c>
      <c r="AD751" t="s">
        <v>48</v>
      </c>
      <c r="AE751" t="s">
        <v>45</v>
      </c>
    </row>
    <row r="752">
      <c r="A752">
        <v>805748</v>
      </c>
      <c r="B752">
        <v>805748</v>
      </c>
      <c r="C752" t="s">
        <v>1138</v>
      </c>
      <c r="D752" t="s">
        <v>1137</v>
      </c>
      <c r="E752" t="s">
        <v>96</v>
      </c>
      <c r="F752" s="1">
        <v>4</v>
      </c>
      <c r="G752" s="2">
        <v>0.4</v>
      </c>
      <c r="H752" s="2">
        <v>0.512</v>
      </c>
      <c r="I752" s="1">
        <v>5.6</v>
      </c>
      <c r="J752" s="1">
        <f>IF(AND(ISNUMBER(F752),ISNUMBER(H752)),ROUND(F752*(1+H752),2),"")</f>
        <v>6.05</v>
      </c>
      <c r="K752" s="2">
        <f>IF(AND(ISNUMBER(I752),I752&gt;0,ISNUMBER(J752)),J752/I752-1,"")</f>
        <v>0.0803571428571428</v>
      </c>
      <c r="L752" t="s">
        <v>38</v>
      </c>
      <c r="N752" s="1" t="s">
        <f>IF(AND(ISNUMBER(U752),U752&gt;0,ISNUMBER(J752)),ROUND(J752/U752,2),"")</f>
        <v>39</v>
      </c>
      <c r="Q752" t="s">
        <v>40</v>
      </c>
      <c r="R752" t="s">
        <v>39</v>
      </c>
      <c r="S752">
        <v>526803</v>
      </c>
      <c r="T752">
        <v>526803</v>
      </c>
      <c r="X752" t="s">
        <v>41</v>
      </c>
      <c r="Z752" s="1">
        <v>5.6</v>
      </c>
      <c r="AA752" s="1">
        <f>IF(AND(ISNUMBER(Z752),ISNUMBER(I752),I752&gt;0,ISNUMBER(J752)),ROUND(Z752*J752/I752,2),"")</f>
        <v>6.05</v>
      </c>
      <c r="AB752" t="s">
        <v>42</v>
      </c>
      <c r="AC752" t="s">
        <v>43</v>
      </c>
      <c r="AD752" t="s">
        <v>44</v>
      </c>
      <c r="AE752" t="s">
        <v>45</v>
      </c>
    </row>
    <row r="753">
      <c r="A753">
        <v>975217</v>
      </c>
      <c r="B753">
        <v>975217</v>
      </c>
      <c r="C753" t="s">
        <v>1139</v>
      </c>
      <c r="D753" t="s">
        <v>1137</v>
      </c>
      <c r="E753" t="s">
        <v>63</v>
      </c>
      <c r="F753" s="1">
        <v>8</v>
      </c>
      <c r="G753" s="2">
        <v>0.4</v>
      </c>
      <c r="H753" s="2">
        <v>0.512</v>
      </c>
      <c r="I753" s="1">
        <v>11.2</v>
      </c>
      <c r="J753" s="1">
        <f>IF(AND(ISNUMBER(F753),ISNUMBER(H753)),ROUND(F753*(1+H753),2),"")</f>
        <v>12.1</v>
      </c>
      <c r="K753" s="2">
        <f>IF(AND(ISNUMBER(I753),I753&gt;0,ISNUMBER(J753)),J753/I753-1,"")</f>
        <v>0.0803571428571428</v>
      </c>
      <c r="L753" t="s">
        <v>38</v>
      </c>
      <c r="N753" s="1" t="s">
        <f>IF(AND(ISNUMBER(U753),U753&gt;0,ISNUMBER(J753)),ROUND(J753/U753,2),"")</f>
        <v>39</v>
      </c>
      <c r="Q753" t="s">
        <v>40</v>
      </c>
      <c r="R753" t="s">
        <v>39</v>
      </c>
      <c r="S753">
        <v>740628</v>
      </c>
      <c r="T753">
        <v>740628</v>
      </c>
      <c r="X753" t="s">
        <v>41</v>
      </c>
      <c r="Z753" s="1">
        <v>11.2</v>
      </c>
      <c r="AA753" s="1">
        <f>IF(AND(ISNUMBER(Z753),ISNUMBER(I753),I753&gt;0,ISNUMBER(J753)),ROUND(Z753*J753/I753,2),"")</f>
        <v>12.1</v>
      </c>
      <c r="AB753" t="s">
        <v>42</v>
      </c>
      <c r="AC753" t="s">
        <v>43</v>
      </c>
      <c r="AD753" t="s">
        <v>48</v>
      </c>
      <c r="AE753" t="s">
        <v>45</v>
      </c>
    </row>
    <row r="754">
      <c r="A754">
        <v>897406</v>
      </c>
      <c r="B754">
        <v>897406</v>
      </c>
      <c r="C754" t="s">
        <v>1140</v>
      </c>
      <c r="D754" t="s">
        <v>1137</v>
      </c>
      <c r="E754" t="s">
        <v>63</v>
      </c>
      <c r="F754" s="1">
        <v>6</v>
      </c>
      <c r="G754" s="2">
        <v>0.4</v>
      </c>
      <c r="H754" s="2">
        <v>0.512</v>
      </c>
      <c r="I754" s="1">
        <v>8.4</v>
      </c>
      <c r="J754" s="1">
        <f>IF(AND(ISNUMBER(F754),ISNUMBER(H754)),ROUND(F754*(1+H754),2),"")</f>
        <v>9.07</v>
      </c>
      <c r="K754" s="2">
        <f>IF(AND(ISNUMBER(I754),I754&gt;0,ISNUMBER(J754)),J754/I754-1,"")</f>
        <v>0.0797619047619047</v>
      </c>
      <c r="L754" t="s">
        <v>38</v>
      </c>
      <c r="N754" s="1" t="s">
        <f>IF(AND(ISNUMBER(U754),U754&gt;0,ISNUMBER(J754)),ROUND(J754/U754,2),"")</f>
        <v>39</v>
      </c>
      <c r="Q754" t="s">
        <v>40</v>
      </c>
      <c r="R754" t="s">
        <v>39</v>
      </c>
      <c r="S754">
        <v>638663</v>
      </c>
      <c r="T754">
        <v>638663</v>
      </c>
      <c r="X754" t="s">
        <v>41</v>
      </c>
      <c r="Z754" s="1">
        <v>8.4</v>
      </c>
      <c r="AA754" s="1">
        <f>IF(AND(ISNUMBER(Z754),ISNUMBER(I754),I754&gt;0,ISNUMBER(J754)),ROUND(Z754*J754/I754,2),"")</f>
        <v>9.07</v>
      </c>
      <c r="AB754" t="s">
        <v>42</v>
      </c>
      <c r="AC754" t="s">
        <v>43</v>
      </c>
      <c r="AD754" t="s">
        <v>48</v>
      </c>
      <c r="AE754" t="s">
        <v>45</v>
      </c>
    </row>
    <row r="755">
      <c r="A755">
        <v>901386</v>
      </c>
      <c r="B755">
        <v>901386</v>
      </c>
      <c r="C755" t="s">
        <v>1141</v>
      </c>
      <c r="D755" t="s">
        <v>1137</v>
      </c>
      <c r="E755" t="s">
        <v>63</v>
      </c>
      <c r="F755" s="1">
        <v>8</v>
      </c>
      <c r="G755" s="2">
        <v>0.4</v>
      </c>
      <c r="H755" s="2">
        <v>0.512</v>
      </c>
      <c r="I755" s="1">
        <v>11.2</v>
      </c>
      <c r="J755" s="1">
        <f>IF(AND(ISNUMBER(F755),ISNUMBER(H755)),ROUND(F755*(1+H755),2),"")</f>
        <v>12.1</v>
      </c>
      <c r="K755" s="2">
        <f>IF(AND(ISNUMBER(I755),I755&gt;0,ISNUMBER(J755)),J755/I755-1,"")</f>
        <v>0.0803571428571428</v>
      </c>
      <c r="L755" t="s">
        <v>38</v>
      </c>
      <c r="N755" s="1" t="s">
        <f>IF(AND(ISNUMBER(U755),U755&gt;0,ISNUMBER(J755)),ROUND(J755/U755,2),"")</f>
        <v>39</v>
      </c>
      <c r="Q755" t="s">
        <v>40</v>
      </c>
      <c r="R755" t="s">
        <v>39</v>
      </c>
      <c r="S755">
        <v>643634</v>
      </c>
      <c r="T755">
        <v>643634</v>
      </c>
      <c r="X755" t="s">
        <v>41</v>
      </c>
      <c r="Z755" s="1">
        <v>11.2</v>
      </c>
      <c r="AA755" s="1">
        <f>IF(AND(ISNUMBER(Z755),ISNUMBER(I755),I755&gt;0,ISNUMBER(J755)),ROUND(Z755*J755/I755,2),"")</f>
        <v>12.1</v>
      </c>
      <c r="AB755" t="s">
        <v>42</v>
      </c>
      <c r="AC755" t="s">
        <v>43</v>
      </c>
      <c r="AD755" t="s">
        <v>48</v>
      </c>
      <c r="AE755" t="s">
        <v>45</v>
      </c>
    </row>
    <row r="756">
      <c r="A756">
        <v>975212</v>
      </c>
      <c r="B756">
        <v>975212</v>
      </c>
      <c r="C756" t="s">
        <v>1142</v>
      </c>
      <c r="D756" t="s">
        <v>1137</v>
      </c>
      <c r="E756" t="s">
        <v>63</v>
      </c>
      <c r="F756" s="1">
        <v>6</v>
      </c>
      <c r="G756" s="2">
        <v>0.4</v>
      </c>
      <c r="H756" s="2">
        <v>0.512</v>
      </c>
      <c r="I756" s="1">
        <v>8.4</v>
      </c>
      <c r="J756" s="1">
        <f>IF(AND(ISNUMBER(F756),ISNUMBER(H756)),ROUND(F756*(1+H756),2),"")</f>
        <v>9.07</v>
      </c>
      <c r="K756" s="2">
        <f>IF(AND(ISNUMBER(I756),I756&gt;0,ISNUMBER(J756)),J756/I756-1,"")</f>
        <v>0.0797619047619047</v>
      </c>
      <c r="L756" t="s">
        <v>38</v>
      </c>
      <c r="N756" s="1" t="s">
        <f>IF(AND(ISNUMBER(U756),U756&gt;0,ISNUMBER(J756)),ROUND(J756/U756,2),"")</f>
        <v>39</v>
      </c>
      <c r="Q756" t="s">
        <v>40</v>
      </c>
      <c r="R756" t="s">
        <v>39</v>
      </c>
      <c r="S756">
        <v>740622</v>
      </c>
      <c r="T756">
        <v>740622</v>
      </c>
      <c r="X756" t="s">
        <v>41</v>
      </c>
      <c r="Z756" s="1">
        <v>8.4</v>
      </c>
      <c r="AA756" s="1">
        <f>IF(AND(ISNUMBER(Z756),ISNUMBER(I756),I756&gt;0,ISNUMBER(J756)),ROUND(Z756*J756/I756,2),"")</f>
        <v>9.07</v>
      </c>
      <c r="AB756" t="s">
        <v>42</v>
      </c>
      <c r="AC756" t="s">
        <v>43</v>
      </c>
      <c r="AD756" t="s">
        <v>44</v>
      </c>
      <c r="AE756" t="s">
        <v>45</v>
      </c>
    </row>
    <row r="757">
      <c r="A757">
        <v>1090814</v>
      </c>
      <c r="B757">
        <v>1090814</v>
      </c>
      <c r="C757" t="s">
        <v>1143</v>
      </c>
      <c r="D757" t="s">
        <v>1137</v>
      </c>
      <c r="E757" t="s">
        <v>63</v>
      </c>
      <c r="F757" s="1">
        <v>10</v>
      </c>
      <c r="G757" s="2">
        <v>0.4</v>
      </c>
      <c r="H757" s="2">
        <v>0.512</v>
      </c>
      <c r="I757" s="1">
        <v>14</v>
      </c>
      <c r="J757" s="1">
        <f>IF(AND(ISNUMBER(F757),ISNUMBER(H757)),ROUND(F757*(1+H757),2),"")</f>
        <v>15.12</v>
      </c>
      <c r="K757" s="2">
        <f>IF(AND(ISNUMBER(I757),I757&gt;0,ISNUMBER(J757)),J757/I757-1,"")</f>
        <v>0.07999999999999985</v>
      </c>
      <c r="L757" t="s">
        <v>38</v>
      </c>
      <c r="N757" s="1" t="s">
        <f>IF(AND(ISNUMBER(U757),U757&gt;0,ISNUMBER(J757)),ROUND(J757/U757,2),"")</f>
        <v>39</v>
      </c>
      <c r="Q757" t="s">
        <v>40</v>
      </c>
      <c r="R757" t="s">
        <v>39</v>
      </c>
      <c r="S757">
        <v>904110</v>
      </c>
      <c r="T757">
        <v>904110</v>
      </c>
      <c r="X757" t="s">
        <v>41</v>
      </c>
      <c r="Z757" s="1">
        <v>14</v>
      </c>
      <c r="AA757" s="1">
        <f>IF(AND(ISNUMBER(Z757),ISNUMBER(I757),I757&gt;0,ISNUMBER(J757)),ROUND(Z757*J757/I757,2),"")</f>
        <v>15.12</v>
      </c>
      <c r="AB757" t="s">
        <v>42</v>
      </c>
      <c r="AC757" t="s">
        <v>43</v>
      </c>
      <c r="AD757" t="s">
        <v>48</v>
      </c>
      <c r="AE757" t="s">
        <v>45</v>
      </c>
    </row>
    <row r="758">
      <c r="A758">
        <v>1090811</v>
      </c>
      <c r="B758">
        <v>1090811</v>
      </c>
      <c r="C758" t="s">
        <v>1144</v>
      </c>
      <c r="D758" t="s">
        <v>1137</v>
      </c>
      <c r="E758" t="s">
        <v>63</v>
      </c>
      <c r="F758" s="1">
        <v>10</v>
      </c>
      <c r="G758" s="2">
        <v>0.4</v>
      </c>
      <c r="H758" s="2">
        <v>0.512</v>
      </c>
      <c r="I758" s="1">
        <v>14</v>
      </c>
      <c r="J758" s="1">
        <f>IF(AND(ISNUMBER(F758),ISNUMBER(H758)),ROUND(F758*(1+H758),2),"")</f>
        <v>15.12</v>
      </c>
      <c r="K758" s="2">
        <f>IF(AND(ISNUMBER(I758),I758&gt;0,ISNUMBER(J758)),J758/I758-1,"")</f>
        <v>0.07999999999999985</v>
      </c>
      <c r="L758" t="s">
        <v>38</v>
      </c>
      <c r="N758" s="1" t="s">
        <f>IF(AND(ISNUMBER(U758),U758&gt;0,ISNUMBER(J758)),ROUND(J758/U758,2),"")</f>
        <v>39</v>
      </c>
      <c r="Q758" t="s">
        <v>40</v>
      </c>
      <c r="R758" t="s">
        <v>39</v>
      </c>
      <c r="S758">
        <v>904107</v>
      </c>
      <c r="T758">
        <v>904107</v>
      </c>
      <c r="X758" t="s">
        <v>41</v>
      </c>
      <c r="Z758" s="1">
        <v>14</v>
      </c>
      <c r="AA758" s="1">
        <f>IF(AND(ISNUMBER(Z758),ISNUMBER(I758),I758&gt;0,ISNUMBER(J758)),ROUND(Z758*J758/I758,2),"")</f>
        <v>15.12</v>
      </c>
      <c r="AB758" t="s">
        <v>42</v>
      </c>
      <c r="AC758" t="s">
        <v>43</v>
      </c>
      <c r="AD758" t="s">
        <v>44</v>
      </c>
      <c r="AE758" t="s">
        <v>45</v>
      </c>
    </row>
    <row r="759">
      <c r="A759">
        <v>1017978</v>
      </c>
      <c r="B759">
        <v>1017978</v>
      </c>
      <c r="C759" t="s">
        <v>1145</v>
      </c>
      <c r="D759" t="s">
        <v>1137</v>
      </c>
      <c r="E759" t="s">
        <v>63</v>
      </c>
      <c r="F759" s="1">
        <v>15</v>
      </c>
      <c r="G759" s="2">
        <v>0.4</v>
      </c>
      <c r="H759" s="2">
        <v>0.512</v>
      </c>
      <c r="I759" s="1">
        <v>21</v>
      </c>
      <c r="J759" s="1">
        <f>IF(AND(ISNUMBER(F759),ISNUMBER(H759)),ROUND(F759*(1+H759),2),"")</f>
        <v>22.68</v>
      </c>
      <c r="K759" s="2">
        <f>IF(AND(ISNUMBER(I759),I759&gt;0,ISNUMBER(J759)),J759/I759-1,"")</f>
        <v>0.08000000000000007</v>
      </c>
      <c r="L759" t="s">
        <v>38</v>
      </c>
      <c r="N759" s="1" t="s">
        <f>IF(AND(ISNUMBER(U759),U759&gt;0,ISNUMBER(J759)),ROUND(J759/U759,2),"")</f>
        <v>39</v>
      </c>
      <c r="Q759" t="s">
        <v>40</v>
      </c>
      <c r="R759" t="s">
        <v>39</v>
      </c>
      <c r="S759">
        <v>803428</v>
      </c>
      <c r="T759">
        <v>803428</v>
      </c>
      <c r="X759" t="s">
        <v>41</v>
      </c>
      <c r="Z759" s="1">
        <v>21</v>
      </c>
      <c r="AA759" s="1">
        <f>IF(AND(ISNUMBER(Z759),ISNUMBER(I759),I759&gt;0,ISNUMBER(J759)),ROUND(Z759*J759/I759,2),"")</f>
        <v>22.68</v>
      </c>
      <c r="AB759" t="s">
        <v>42</v>
      </c>
      <c r="AC759" t="s">
        <v>43</v>
      </c>
      <c r="AD759" t="s">
        <v>48</v>
      </c>
      <c r="AE759" t="s">
        <v>45</v>
      </c>
    </row>
    <row r="760">
      <c r="A760">
        <v>1012966</v>
      </c>
      <c r="B760">
        <v>1012966</v>
      </c>
      <c r="C760" t="s">
        <v>1146</v>
      </c>
      <c r="D760" t="s">
        <v>1137</v>
      </c>
      <c r="E760" t="s">
        <v>1147</v>
      </c>
      <c r="F760" s="1">
        <v>3</v>
      </c>
      <c r="G760" s="2">
        <v>0.4</v>
      </c>
      <c r="H760" s="2">
        <v>0.512</v>
      </c>
      <c r="I760" s="1">
        <v>4.2</v>
      </c>
      <c r="J760" s="1">
        <f>IF(AND(ISNUMBER(F760),ISNUMBER(H760)),ROUND(F760*(1+H760),2),"")</f>
        <v>4.54</v>
      </c>
      <c r="K760" s="2">
        <f>IF(AND(ISNUMBER(I760),I760&gt;0,ISNUMBER(J760)),J760/I760-1,"")</f>
        <v>0.08095238095238089</v>
      </c>
      <c r="L760" t="s">
        <v>38</v>
      </c>
      <c r="N760" s="1" t="s">
        <f>IF(AND(ISNUMBER(U760),U760&gt;0,ISNUMBER(J760)),ROUND(J760/U760,2),"")</f>
        <v>39</v>
      </c>
      <c r="Q760" t="s">
        <v>40</v>
      </c>
      <c r="R760" t="s">
        <v>39</v>
      </c>
      <c r="S760">
        <v>796544</v>
      </c>
      <c r="T760">
        <v>796544</v>
      </c>
      <c r="X760" t="s">
        <v>41</v>
      </c>
      <c r="Z760" s="1">
        <v>4.2</v>
      </c>
      <c r="AA760" s="1">
        <f>IF(AND(ISNUMBER(Z760),ISNUMBER(I760),I760&gt;0,ISNUMBER(J760)),ROUND(Z760*J760/I760,2),"")</f>
        <v>4.54</v>
      </c>
      <c r="AB760" t="s">
        <v>42</v>
      </c>
      <c r="AC760" t="s">
        <v>43</v>
      </c>
      <c r="AD760" t="s">
        <v>44</v>
      </c>
      <c r="AE760" t="s">
        <v>45</v>
      </c>
    </row>
    <row r="761">
      <c r="A761">
        <v>1012966</v>
      </c>
      <c r="B761">
        <v>1012966</v>
      </c>
      <c r="C761" t="s">
        <v>1146</v>
      </c>
      <c r="D761" t="s">
        <v>1137</v>
      </c>
      <c r="E761" t="s">
        <v>1148</v>
      </c>
      <c r="F761" s="1">
        <v>5</v>
      </c>
      <c r="G761" s="2">
        <v>0.4</v>
      </c>
      <c r="H761" s="2">
        <v>0.512</v>
      </c>
      <c r="I761" s="1">
        <v>7</v>
      </c>
      <c r="J761" s="1">
        <f>IF(AND(ISNUMBER(F761),ISNUMBER(H761)),ROUND(F761*(1+H761),2),"")</f>
        <v>7.56</v>
      </c>
      <c r="K761" s="2">
        <f>IF(AND(ISNUMBER(I761),I761&gt;0,ISNUMBER(J761)),J761/I761-1,"")</f>
        <v>0.07999999999999985</v>
      </c>
      <c r="L761" t="s">
        <v>38</v>
      </c>
      <c r="N761" s="1" t="s">
        <f>IF(AND(ISNUMBER(U761),U761&gt;0,ISNUMBER(J761)),ROUND(J761/U761,2),"")</f>
        <v>39</v>
      </c>
      <c r="Q761" t="s">
        <v>40</v>
      </c>
      <c r="R761" t="s">
        <v>39</v>
      </c>
      <c r="S761">
        <v>926994</v>
      </c>
      <c r="T761">
        <v>926994</v>
      </c>
      <c r="X761" t="s">
        <v>41</v>
      </c>
      <c r="Z761" s="1">
        <v>7</v>
      </c>
      <c r="AA761" s="1">
        <f>IF(AND(ISNUMBER(Z761),ISNUMBER(I761),I761&gt;0,ISNUMBER(J761)),ROUND(Z761*J761/I761,2),"")</f>
        <v>7.56</v>
      </c>
      <c r="AB761" t="s">
        <v>42</v>
      </c>
      <c r="AC761" t="s">
        <v>43</v>
      </c>
      <c r="AD761" t="s">
        <v>44</v>
      </c>
      <c r="AE761" t="s">
        <v>45</v>
      </c>
    </row>
    <row r="762">
      <c r="A762">
        <v>1012965</v>
      </c>
      <c r="B762">
        <v>1012965</v>
      </c>
      <c r="C762" t="s">
        <v>1149</v>
      </c>
      <c r="D762" t="s">
        <v>1137</v>
      </c>
      <c r="E762" t="s">
        <v>1150</v>
      </c>
      <c r="F762" s="1">
        <v>3</v>
      </c>
      <c r="G762" s="2">
        <v>0.4</v>
      </c>
      <c r="H762" s="2">
        <v>0.512</v>
      </c>
      <c r="I762" s="1">
        <v>4.2</v>
      </c>
      <c r="J762" s="1">
        <f>IF(AND(ISNUMBER(F762),ISNUMBER(H762)),ROUND(F762*(1+H762),2),"")</f>
        <v>4.54</v>
      </c>
      <c r="K762" s="2">
        <f>IF(AND(ISNUMBER(I762),I762&gt;0,ISNUMBER(J762)),J762/I762-1,"")</f>
        <v>0.08095238095238089</v>
      </c>
      <c r="L762" t="s">
        <v>38</v>
      </c>
      <c r="N762" s="1" t="s">
        <f>IF(AND(ISNUMBER(U762),U762&gt;0,ISNUMBER(J762)),ROUND(J762/U762,2),"")</f>
        <v>39</v>
      </c>
      <c r="Q762" t="s">
        <v>40</v>
      </c>
      <c r="R762" t="s">
        <v>39</v>
      </c>
      <c r="S762">
        <v>796543</v>
      </c>
      <c r="T762">
        <v>796543</v>
      </c>
      <c r="X762" t="s">
        <v>41</v>
      </c>
      <c r="Z762" s="1">
        <v>4.2</v>
      </c>
      <c r="AA762" s="1">
        <f>IF(AND(ISNUMBER(Z762),ISNUMBER(I762),I762&gt;0,ISNUMBER(J762)),ROUND(Z762*J762/I762,2),"")</f>
        <v>4.54</v>
      </c>
      <c r="AB762" t="s">
        <v>42</v>
      </c>
      <c r="AC762" t="s">
        <v>43</v>
      </c>
      <c r="AD762" t="s">
        <v>44</v>
      </c>
      <c r="AE762" t="s">
        <v>45</v>
      </c>
    </row>
    <row r="763">
      <c r="A763">
        <v>1012965</v>
      </c>
      <c r="B763">
        <v>1012965</v>
      </c>
      <c r="C763" t="s">
        <v>1149</v>
      </c>
      <c r="D763" t="s">
        <v>1137</v>
      </c>
      <c r="E763" t="s">
        <v>1151</v>
      </c>
      <c r="F763" s="1">
        <v>5</v>
      </c>
      <c r="G763" s="2">
        <v>0.4</v>
      </c>
      <c r="H763" s="2">
        <v>0.512</v>
      </c>
      <c r="I763" s="1">
        <v>7</v>
      </c>
      <c r="J763" s="1">
        <f>IF(AND(ISNUMBER(F763),ISNUMBER(H763)),ROUND(F763*(1+H763),2),"")</f>
        <v>7.56</v>
      </c>
      <c r="K763" s="2">
        <f>IF(AND(ISNUMBER(I763),I763&gt;0,ISNUMBER(J763)),J763/I763-1,"")</f>
        <v>0.07999999999999985</v>
      </c>
      <c r="L763" t="s">
        <v>38</v>
      </c>
      <c r="N763" s="1" t="s">
        <f>IF(AND(ISNUMBER(U763),U763&gt;0,ISNUMBER(J763)),ROUND(J763/U763,2),"")</f>
        <v>39</v>
      </c>
      <c r="Q763" t="s">
        <v>40</v>
      </c>
      <c r="R763" t="s">
        <v>39</v>
      </c>
      <c r="S763">
        <v>994309</v>
      </c>
      <c r="T763">
        <v>994309</v>
      </c>
      <c r="X763" t="s">
        <v>41</v>
      </c>
      <c r="Z763" s="1">
        <v>7</v>
      </c>
      <c r="AA763" s="1">
        <f>IF(AND(ISNUMBER(Z763),ISNUMBER(I763),I763&gt;0,ISNUMBER(J763)),ROUND(Z763*J763/I763,2),"")</f>
        <v>7.56</v>
      </c>
      <c r="AB763" t="s">
        <v>42</v>
      </c>
      <c r="AC763" t="s">
        <v>43</v>
      </c>
      <c r="AD763" t="s">
        <v>44</v>
      </c>
      <c r="AE763" t="s">
        <v>45</v>
      </c>
    </row>
    <row r="764">
      <c r="A764">
        <v>881823</v>
      </c>
      <c r="B764">
        <v>881823</v>
      </c>
      <c r="C764" t="s">
        <v>1152</v>
      </c>
      <c r="D764" t="s">
        <v>1137</v>
      </c>
      <c r="E764" t="s">
        <v>1147</v>
      </c>
      <c r="F764" s="1">
        <v>5</v>
      </c>
      <c r="G764" s="2">
        <v>0.4</v>
      </c>
      <c r="H764" s="2">
        <v>0.512</v>
      </c>
      <c r="I764" s="1">
        <v>7</v>
      </c>
      <c r="J764" s="1">
        <f>IF(AND(ISNUMBER(F764),ISNUMBER(H764)),ROUND(F764*(1+H764),2),"")</f>
        <v>7.56</v>
      </c>
      <c r="K764" s="2">
        <f>IF(AND(ISNUMBER(I764),I764&gt;0,ISNUMBER(J764)),J764/I764-1,"")</f>
        <v>0.07999999999999985</v>
      </c>
      <c r="L764" t="s">
        <v>38</v>
      </c>
      <c r="N764" s="1" t="s">
        <f>IF(AND(ISNUMBER(U764),U764&gt;0,ISNUMBER(J764)),ROUND(J764/U764,2),"")</f>
        <v>39</v>
      </c>
      <c r="Q764" t="s">
        <v>40</v>
      </c>
      <c r="R764" t="s">
        <v>39</v>
      </c>
      <c r="S764">
        <v>618344</v>
      </c>
      <c r="T764">
        <v>618344</v>
      </c>
      <c r="X764" t="s">
        <v>41</v>
      </c>
      <c r="Z764" s="1">
        <v>7</v>
      </c>
      <c r="AA764" s="1">
        <f>IF(AND(ISNUMBER(Z764),ISNUMBER(I764),I764&gt;0,ISNUMBER(J764)),ROUND(Z764*J764/I764,2),"")</f>
        <v>7.56</v>
      </c>
      <c r="AB764" t="s">
        <v>42</v>
      </c>
      <c r="AC764" t="s">
        <v>43</v>
      </c>
      <c r="AD764" t="s">
        <v>44</v>
      </c>
      <c r="AE764" t="s">
        <v>45</v>
      </c>
    </row>
    <row r="765">
      <c r="A765">
        <v>1026272</v>
      </c>
      <c r="B765">
        <v>1026272</v>
      </c>
      <c r="C765" t="s">
        <v>1153</v>
      </c>
      <c r="D765" t="s">
        <v>1137</v>
      </c>
      <c r="E765" t="s">
        <v>63</v>
      </c>
      <c r="F765" s="1">
        <v>10</v>
      </c>
      <c r="G765" s="2">
        <v>0.4</v>
      </c>
      <c r="H765" s="2">
        <v>0.512</v>
      </c>
      <c r="I765" s="1">
        <v>14</v>
      </c>
      <c r="J765" s="1">
        <f>IF(AND(ISNUMBER(F765),ISNUMBER(H765)),ROUND(F765*(1+H765),2),"")</f>
        <v>15.12</v>
      </c>
      <c r="K765" s="2">
        <f>IF(AND(ISNUMBER(I765),I765&gt;0,ISNUMBER(J765)),J765/I765-1,"")</f>
        <v>0.07999999999999985</v>
      </c>
      <c r="L765" t="s">
        <v>38</v>
      </c>
      <c r="N765" s="1" t="s">
        <f>IF(AND(ISNUMBER(U765),U765&gt;0,ISNUMBER(J765)),ROUND(J765/U765,2),"")</f>
        <v>39</v>
      </c>
      <c r="Q765" t="s">
        <v>40</v>
      </c>
      <c r="R765" t="s">
        <v>39</v>
      </c>
      <c r="S765">
        <v>816045</v>
      </c>
      <c r="T765">
        <v>816045</v>
      </c>
      <c r="X765" t="s">
        <v>41</v>
      </c>
      <c r="Z765" s="1">
        <v>14</v>
      </c>
      <c r="AA765" s="1">
        <f>IF(AND(ISNUMBER(Z765),ISNUMBER(I765),I765&gt;0,ISNUMBER(J765)),ROUND(Z765*J765/I765,2),"")</f>
        <v>15.12</v>
      </c>
      <c r="AB765" t="s">
        <v>42</v>
      </c>
      <c r="AC765" t="s">
        <v>43</v>
      </c>
      <c r="AD765" t="s">
        <v>44</v>
      </c>
      <c r="AE765" t="s">
        <v>45</v>
      </c>
    </row>
    <row r="766">
      <c r="A766">
        <v>1119870</v>
      </c>
      <c r="B766">
        <v>1119870</v>
      </c>
      <c r="C766" t="s">
        <v>1154</v>
      </c>
      <c r="D766" t="s">
        <v>1137</v>
      </c>
      <c r="E766" t="s">
        <v>63</v>
      </c>
      <c r="F766" s="1">
        <v>10</v>
      </c>
      <c r="G766" s="2">
        <v>0.4</v>
      </c>
      <c r="H766" s="2">
        <v>0.512</v>
      </c>
      <c r="I766" s="1">
        <v>14</v>
      </c>
      <c r="J766" s="1">
        <f>IF(AND(ISNUMBER(F766),ISNUMBER(H766)),ROUND(F766*(1+H766),2),"")</f>
        <v>15.12</v>
      </c>
      <c r="K766" s="2">
        <f>IF(AND(ISNUMBER(I766),I766&gt;0,ISNUMBER(J766)),J766/I766-1,"")</f>
        <v>0.07999999999999985</v>
      </c>
      <c r="L766" t="s">
        <v>38</v>
      </c>
      <c r="N766" s="1" t="s">
        <f>IF(AND(ISNUMBER(U766),U766&gt;0,ISNUMBER(J766)),ROUND(J766/U766,2),"")</f>
        <v>39</v>
      </c>
      <c r="Q766" t="s">
        <v>40</v>
      </c>
      <c r="R766" t="s">
        <v>39</v>
      </c>
      <c r="S766">
        <v>947706</v>
      </c>
      <c r="T766">
        <v>947706</v>
      </c>
      <c r="X766" t="s">
        <v>41</v>
      </c>
      <c r="Z766" s="1">
        <v>14</v>
      </c>
      <c r="AA766" s="1">
        <f>IF(AND(ISNUMBER(Z766),ISNUMBER(I766),I766&gt;0,ISNUMBER(J766)),ROUND(Z766*J766/I766,2),"")</f>
        <v>15.12</v>
      </c>
      <c r="AB766" t="s">
        <v>42</v>
      </c>
      <c r="AC766" t="s">
        <v>43</v>
      </c>
      <c r="AD766" t="s">
        <v>44</v>
      </c>
      <c r="AE766" t="s">
        <v>45</v>
      </c>
    </row>
    <row r="767">
      <c r="A767">
        <v>805749</v>
      </c>
      <c r="B767">
        <v>805749</v>
      </c>
      <c r="C767" t="s">
        <v>1155</v>
      </c>
      <c r="D767" t="s">
        <v>1137</v>
      </c>
      <c r="E767" t="s">
        <v>96</v>
      </c>
      <c r="F767" s="1">
        <v>3</v>
      </c>
      <c r="G767" s="2">
        <v>0.4</v>
      </c>
      <c r="H767" s="2">
        <v>0.512</v>
      </c>
      <c r="I767" s="1">
        <v>4.2</v>
      </c>
      <c r="J767" s="1">
        <f>IF(AND(ISNUMBER(F767),ISNUMBER(H767)),ROUND(F767*(1+H767),2),"")</f>
        <v>4.54</v>
      </c>
      <c r="K767" s="2">
        <f>IF(AND(ISNUMBER(I767),I767&gt;0,ISNUMBER(J767)),J767/I767-1,"")</f>
        <v>0.08095238095238089</v>
      </c>
      <c r="L767" t="s">
        <v>38</v>
      </c>
      <c r="N767" s="1" t="s">
        <f>IF(AND(ISNUMBER(U767),U767&gt;0,ISNUMBER(J767)),ROUND(J767/U767,2),"")</f>
        <v>39</v>
      </c>
      <c r="Q767" t="s">
        <v>40</v>
      </c>
      <c r="R767" t="s">
        <v>39</v>
      </c>
      <c r="S767">
        <v>526804</v>
      </c>
      <c r="T767">
        <v>526804</v>
      </c>
      <c r="X767" t="s">
        <v>41</v>
      </c>
      <c r="Z767" s="1">
        <v>4.2</v>
      </c>
      <c r="AA767" s="1">
        <f>IF(AND(ISNUMBER(Z767),ISNUMBER(I767),I767&gt;0,ISNUMBER(J767)),ROUND(Z767*J767/I767,2),"")</f>
        <v>4.54</v>
      </c>
      <c r="AB767" t="s">
        <v>42</v>
      </c>
      <c r="AC767" t="s">
        <v>43</v>
      </c>
      <c r="AD767" t="s">
        <v>44</v>
      </c>
      <c r="AE767" t="s">
        <v>45</v>
      </c>
    </row>
    <row r="768">
      <c r="A768">
        <v>975215</v>
      </c>
      <c r="B768">
        <v>975215</v>
      </c>
      <c r="C768" t="s">
        <v>1156</v>
      </c>
      <c r="D768" t="s">
        <v>1137</v>
      </c>
      <c r="E768" t="s">
        <v>63</v>
      </c>
      <c r="F768" s="1">
        <v>8</v>
      </c>
      <c r="G768" s="2">
        <v>0.4</v>
      </c>
      <c r="H768" s="2">
        <v>0.512</v>
      </c>
      <c r="I768" s="1">
        <v>11.2</v>
      </c>
      <c r="J768" s="1">
        <f>IF(AND(ISNUMBER(F768),ISNUMBER(H768)),ROUND(F768*(1+H768),2),"")</f>
        <v>12.1</v>
      </c>
      <c r="K768" s="2">
        <f>IF(AND(ISNUMBER(I768),I768&gt;0,ISNUMBER(J768)),J768/I768-1,"")</f>
        <v>0.0803571428571428</v>
      </c>
      <c r="L768" t="s">
        <v>38</v>
      </c>
      <c r="N768" s="1" t="s">
        <f>IF(AND(ISNUMBER(U768),U768&gt;0,ISNUMBER(J768)),ROUND(J768/U768,2),"")</f>
        <v>39</v>
      </c>
      <c r="Q768" t="s">
        <v>40</v>
      </c>
      <c r="R768" t="s">
        <v>39</v>
      </c>
      <c r="S768">
        <v>740626</v>
      </c>
      <c r="T768">
        <v>740626</v>
      </c>
      <c r="X768" t="s">
        <v>41</v>
      </c>
      <c r="Z768" s="1">
        <v>11.2</v>
      </c>
      <c r="AA768" s="1">
        <f>IF(AND(ISNUMBER(Z768),ISNUMBER(I768),I768&gt;0,ISNUMBER(J768)),ROUND(Z768*J768/I768,2),"")</f>
        <v>12.1</v>
      </c>
      <c r="AB768" t="s">
        <v>42</v>
      </c>
      <c r="AC768" t="s">
        <v>43</v>
      </c>
      <c r="AD768" t="s">
        <v>48</v>
      </c>
      <c r="AE768" t="s">
        <v>45</v>
      </c>
    </row>
    <row r="769">
      <c r="A769">
        <v>914549</v>
      </c>
      <c r="B769">
        <v>914549</v>
      </c>
      <c r="C769" t="s">
        <v>1157</v>
      </c>
      <c r="D769" t="s">
        <v>1137</v>
      </c>
      <c r="E769" t="s">
        <v>98</v>
      </c>
      <c r="F769" s="1">
        <v>2.5</v>
      </c>
      <c r="G769" s="2">
        <v>0.4</v>
      </c>
      <c r="H769" s="2">
        <v>0.512</v>
      </c>
      <c r="I769" s="1">
        <v>3.5</v>
      </c>
      <c r="J769" s="1">
        <f>IF(AND(ISNUMBER(F769),ISNUMBER(H769)),ROUND(F769*(1+H769),2),"")</f>
        <v>3.78</v>
      </c>
      <c r="K769" s="2">
        <f>IF(AND(ISNUMBER(I769),I769&gt;0,ISNUMBER(J769)),J769/I769-1,"")</f>
        <v>0.07999999999999985</v>
      </c>
      <c r="L769" t="s">
        <v>38</v>
      </c>
      <c r="N769" s="1" t="s">
        <f>IF(AND(ISNUMBER(U769),U769&gt;0,ISNUMBER(J769)),ROUND(J769/U769,2),"")</f>
        <v>39</v>
      </c>
      <c r="Q769" t="s">
        <v>40</v>
      </c>
      <c r="R769" t="s">
        <v>39</v>
      </c>
      <c r="S769">
        <v>660244</v>
      </c>
      <c r="T769">
        <v>660244</v>
      </c>
      <c r="X769" t="s">
        <v>41</v>
      </c>
      <c r="Z769" s="1">
        <v>3.5</v>
      </c>
      <c r="AA769" s="1">
        <f>IF(AND(ISNUMBER(Z769),ISNUMBER(I769),I769&gt;0,ISNUMBER(J769)),ROUND(Z769*J769/I769,2),"")</f>
        <v>3.78</v>
      </c>
      <c r="AB769" t="s">
        <v>42</v>
      </c>
      <c r="AC769" t="s">
        <v>43</v>
      </c>
      <c r="AD769" t="s">
        <v>48</v>
      </c>
      <c r="AE769" t="s">
        <v>45</v>
      </c>
    </row>
    <row r="770">
      <c r="A770">
        <v>975218</v>
      </c>
      <c r="B770">
        <v>975218</v>
      </c>
      <c r="C770" t="s">
        <v>1158</v>
      </c>
      <c r="D770" t="s">
        <v>1137</v>
      </c>
      <c r="E770" t="s">
        <v>63</v>
      </c>
      <c r="F770" s="1">
        <v>8</v>
      </c>
      <c r="G770" s="2">
        <v>0.4</v>
      </c>
      <c r="H770" s="2">
        <v>0.512</v>
      </c>
      <c r="I770" s="1">
        <v>11.2</v>
      </c>
      <c r="J770" s="1">
        <f>IF(AND(ISNUMBER(F770),ISNUMBER(H770)),ROUND(F770*(1+H770),2),"")</f>
        <v>12.1</v>
      </c>
      <c r="K770" s="2">
        <f>IF(AND(ISNUMBER(I770),I770&gt;0,ISNUMBER(J770)),J770/I770-1,"")</f>
        <v>0.0803571428571428</v>
      </c>
      <c r="L770" t="s">
        <v>38</v>
      </c>
      <c r="N770" s="1" t="s">
        <f>IF(AND(ISNUMBER(U770),U770&gt;0,ISNUMBER(J770)),ROUND(J770/U770,2),"")</f>
        <v>39</v>
      </c>
      <c r="Q770" t="s">
        <v>40</v>
      </c>
      <c r="R770" t="s">
        <v>39</v>
      </c>
      <c r="S770">
        <v>740629</v>
      </c>
      <c r="T770">
        <v>740629</v>
      </c>
      <c r="X770" t="s">
        <v>41</v>
      </c>
      <c r="Z770" s="1">
        <v>11.2</v>
      </c>
      <c r="AA770" s="1">
        <f>IF(AND(ISNUMBER(Z770),ISNUMBER(I770),I770&gt;0,ISNUMBER(J770)),ROUND(Z770*J770/I770,2),"")</f>
        <v>12.1</v>
      </c>
      <c r="AB770" t="s">
        <v>42</v>
      </c>
      <c r="AC770" t="s">
        <v>43</v>
      </c>
      <c r="AD770" t="s">
        <v>44</v>
      </c>
      <c r="AE770" t="s">
        <v>45</v>
      </c>
    </row>
    <row r="771">
      <c r="A771">
        <v>901383</v>
      </c>
      <c r="B771">
        <v>901383</v>
      </c>
      <c r="C771" t="s">
        <v>1159</v>
      </c>
      <c r="D771" t="s">
        <v>1137</v>
      </c>
      <c r="E771" t="s">
        <v>63</v>
      </c>
      <c r="F771" s="1">
        <v>8</v>
      </c>
      <c r="G771" s="2">
        <v>0.4</v>
      </c>
      <c r="H771" s="2">
        <v>0.512</v>
      </c>
      <c r="I771" s="1">
        <v>11.2</v>
      </c>
      <c r="J771" s="1">
        <f>IF(AND(ISNUMBER(F771),ISNUMBER(H771)),ROUND(F771*(1+H771),2),"")</f>
        <v>12.1</v>
      </c>
      <c r="K771" s="2">
        <f>IF(AND(ISNUMBER(I771),I771&gt;0,ISNUMBER(J771)),J771/I771-1,"")</f>
        <v>0.0803571428571428</v>
      </c>
      <c r="L771" t="s">
        <v>38</v>
      </c>
      <c r="N771" s="1" t="s">
        <f>IF(AND(ISNUMBER(U771),U771&gt;0,ISNUMBER(J771)),ROUND(J771/U771,2),"")</f>
        <v>39</v>
      </c>
      <c r="Q771" t="s">
        <v>40</v>
      </c>
      <c r="R771" t="s">
        <v>39</v>
      </c>
      <c r="S771">
        <v>643631</v>
      </c>
      <c r="T771">
        <v>643631</v>
      </c>
      <c r="X771" t="s">
        <v>41</v>
      </c>
      <c r="Z771" s="1">
        <v>11.2</v>
      </c>
      <c r="AA771" s="1">
        <f>IF(AND(ISNUMBER(Z771),ISNUMBER(I771),I771&gt;0,ISNUMBER(J771)),ROUND(Z771*J771/I771,2),"")</f>
        <v>12.1</v>
      </c>
      <c r="AB771" t="s">
        <v>42</v>
      </c>
      <c r="AC771" t="s">
        <v>43</v>
      </c>
      <c r="AD771" t="s">
        <v>48</v>
      </c>
      <c r="AE771" t="s">
        <v>45</v>
      </c>
    </row>
    <row r="772">
      <c r="A772">
        <v>897404</v>
      </c>
      <c r="B772">
        <v>897404</v>
      </c>
      <c r="C772" t="s">
        <v>1160</v>
      </c>
      <c r="D772" t="s">
        <v>1137</v>
      </c>
      <c r="E772" t="s">
        <v>63</v>
      </c>
      <c r="F772" s="1">
        <v>6</v>
      </c>
      <c r="G772" s="2">
        <v>0.4</v>
      </c>
      <c r="H772" s="2">
        <v>0.512</v>
      </c>
      <c r="I772" s="1">
        <v>8.4</v>
      </c>
      <c r="J772" s="1">
        <f>IF(AND(ISNUMBER(F772),ISNUMBER(H772)),ROUND(F772*(1+H772),2),"")</f>
        <v>9.07</v>
      </c>
      <c r="K772" s="2">
        <f>IF(AND(ISNUMBER(I772),I772&gt;0,ISNUMBER(J772)),J772/I772-1,"")</f>
        <v>0.0797619047619047</v>
      </c>
      <c r="L772" t="s">
        <v>38</v>
      </c>
      <c r="N772" s="1" t="s">
        <f>IF(AND(ISNUMBER(U772),U772&gt;0,ISNUMBER(J772)),ROUND(J772/U772,2),"")</f>
        <v>39</v>
      </c>
      <c r="Q772" t="s">
        <v>40</v>
      </c>
      <c r="R772" t="s">
        <v>39</v>
      </c>
      <c r="S772">
        <v>638661</v>
      </c>
      <c r="T772">
        <v>638661</v>
      </c>
      <c r="X772" t="s">
        <v>41</v>
      </c>
      <c r="Z772" s="1">
        <v>8.4</v>
      </c>
      <c r="AA772" s="1">
        <f>IF(AND(ISNUMBER(Z772),ISNUMBER(I772),I772&gt;0,ISNUMBER(J772)),ROUND(Z772*J772/I772,2),"")</f>
        <v>9.07</v>
      </c>
      <c r="AB772" t="s">
        <v>42</v>
      </c>
      <c r="AC772" t="s">
        <v>43</v>
      </c>
      <c r="AD772" t="s">
        <v>48</v>
      </c>
      <c r="AE772" t="s">
        <v>45</v>
      </c>
    </row>
    <row r="773">
      <c r="A773">
        <v>975220</v>
      </c>
      <c r="B773">
        <v>975220</v>
      </c>
      <c r="C773" t="s">
        <v>1161</v>
      </c>
      <c r="D773" t="s">
        <v>1137</v>
      </c>
      <c r="E773" t="s">
        <v>63</v>
      </c>
      <c r="F773" s="1">
        <v>8</v>
      </c>
      <c r="G773" s="2">
        <v>0.4</v>
      </c>
      <c r="H773" s="2">
        <v>0.512</v>
      </c>
      <c r="I773" s="1">
        <v>11.2</v>
      </c>
      <c r="J773" s="1">
        <f>IF(AND(ISNUMBER(F773),ISNUMBER(H773)),ROUND(F773*(1+H773),2),"")</f>
        <v>12.1</v>
      </c>
      <c r="K773" s="2">
        <f>IF(AND(ISNUMBER(I773),I773&gt;0,ISNUMBER(J773)),J773/I773-1,"")</f>
        <v>0.0803571428571428</v>
      </c>
      <c r="L773" t="s">
        <v>38</v>
      </c>
      <c r="N773" s="1" t="s">
        <f>IF(AND(ISNUMBER(U773),U773&gt;0,ISNUMBER(J773)),ROUND(J773/U773,2),"")</f>
        <v>39</v>
      </c>
      <c r="Q773" t="s">
        <v>40</v>
      </c>
      <c r="R773" t="s">
        <v>39</v>
      </c>
      <c r="S773">
        <v>740631</v>
      </c>
      <c r="T773">
        <v>740631</v>
      </c>
      <c r="X773" t="s">
        <v>41</v>
      </c>
      <c r="Z773" s="1">
        <v>11.2</v>
      </c>
      <c r="AA773" s="1">
        <f>IF(AND(ISNUMBER(Z773),ISNUMBER(I773),I773&gt;0,ISNUMBER(J773)),ROUND(Z773*J773/I773,2),"")</f>
        <v>12.1</v>
      </c>
      <c r="AB773" t="s">
        <v>42</v>
      </c>
      <c r="AC773" t="s">
        <v>43</v>
      </c>
      <c r="AD773" t="s">
        <v>48</v>
      </c>
      <c r="AE773" t="s">
        <v>45</v>
      </c>
    </row>
    <row r="774">
      <c r="A774">
        <v>897403</v>
      </c>
      <c r="B774">
        <v>897403</v>
      </c>
      <c r="C774" t="s">
        <v>1162</v>
      </c>
      <c r="D774" t="s">
        <v>1137</v>
      </c>
      <c r="E774" t="s">
        <v>63</v>
      </c>
      <c r="F774" s="1">
        <v>7</v>
      </c>
      <c r="G774" s="2">
        <v>0.4</v>
      </c>
      <c r="H774" s="2">
        <v>0.512</v>
      </c>
      <c r="I774" s="1">
        <v>9.8</v>
      </c>
      <c r="J774" s="1">
        <f>IF(AND(ISNUMBER(F774),ISNUMBER(H774)),ROUND(F774*(1+H774),2),"")</f>
        <v>10.58</v>
      </c>
      <c r="K774" s="2">
        <f>IF(AND(ISNUMBER(I774),I774&gt;0,ISNUMBER(J774)),J774/I774-1,"")</f>
        <v>0.07959183673469372</v>
      </c>
      <c r="L774" t="s">
        <v>38</v>
      </c>
      <c r="N774" s="1" t="s">
        <f>IF(AND(ISNUMBER(U774),U774&gt;0,ISNUMBER(J774)),ROUND(J774/U774,2),"")</f>
        <v>39</v>
      </c>
      <c r="Q774" t="s">
        <v>40</v>
      </c>
      <c r="R774" t="s">
        <v>39</v>
      </c>
      <c r="S774">
        <v>638660</v>
      </c>
      <c r="T774">
        <v>638660</v>
      </c>
      <c r="X774" t="s">
        <v>41</v>
      </c>
      <c r="Z774" s="1">
        <v>9.8</v>
      </c>
      <c r="AA774" s="1">
        <f>IF(AND(ISNUMBER(Z774),ISNUMBER(I774),I774&gt;0,ISNUMBER(J774)),ROUND(Z774*J774/I774,2),"")</f>
        <v>10.58</v>
      </c>
      <c r="AB774" t="s">
        <v>42</v>
      </c>
      <c r="AC774" t="s">
        <v>43</v>
      </c>
      <c r="AD774" t="s">
        <v>48</v>
      </c>
      <c r="AE774" t="s">
        <v>45</v>
      </c>
    </row>
    <row r="775">
      <c r="A775">
        <v>805750</v>
      </c>
      <c r="B775">
        <v>805750</v>
      </c>
      <c r="C775" t="s">
        <v>1163</v>
      </c>
      <c r="D775" t="s">
        <v>1137</v>
      </c>
      <c r="E775" t="s">
        <v>96</v>
      </c>
      <c r="F775" s="1">
        <v>4</v>
      </c>
      <c r="G775" s="2">
        <v>0.4</v>
      </c>
      <c r="H775" s="2">
        <v>0.512</v>
      </c>
      <c r="I775" s="1">
        <v>5.6</v>
      </c>
      <c r="J775" s="1">
        <f>IF(AND(ISNUMBER(F775),ISNUMBER(H775)),ROUND(F775*(1+H775),2),"")</f>
        <v>6.05</v>
      </c>
      <c r="K775" s="2">
        <f>IF(AND(ISNUMBER(I775),I775&gt;0,ISNUMBER(J775)),J775/I775-1,"")</f>
        <v>0.0803571428571428</v>
      </c>
      <c r="L775" t="s">
        <v>38</v>
      </c>
      <c r="N775" s="1" t="s">
        <f>IF(AND(ISNUMBER(U775),U775&gt;0,ISNUMBER(J775)),ROUND(J775/U775,2),"")</f>
        <v>39</v>
      </c>
      <c r="Q775" t="s">
        <v>40</v>
      </c>
      <c r="R775" t="s">
        <v>39</v>
      </c>
      <c r="S775">
        <v>526805</v>
      </c>
      <c r="T775">
        <v>526805</v>
      </c>
      <c r="X775" t="s">
        <v>41</v>
      </c>
      <c r="Z775" s="1">
        <v>5.6</v>
      </c>
      <c r="AA775" s="1">
        <f>IF(AND(ISNUMBER(Z775),ISNUMBER(I775),I775&gt;0,ISNUMBER(J775)),ROUND(Z775*J775/I775,2),"")</f>
        <v>6.05</v>
      </c>
      <c r="AB775" t="s">
        <v>42</v>
      </c>
      <c r="AC775" t="s">
        <v>43</v>
      </c>
      <c r="AD775" t="s">
        <v>44</v>
      </c>
      <c r="AE775" t="s">
        <v>45</v>
      </c>
    </row>
    <row r="776">
      <c r="A776">
        <v>805751</v>
      </c>
      <c r="B776">
        <v>805751</v>
      </c>
      <c r="C776" t="s">
        <v>1164</v>
      </c>
      <c r="D776" t="s">
        <v>1137</v>
      </c>
      <c r="E776" t="s">
        <v>96</v>
      </c>
      <c r="F776" s="1">
        <v>4</v>
      </c>
      <c r="G776" s="2">
        <v>0.4</v>
      </c>
      <c r="H776" s="2">
        <v>0.512</v>
      </c>
      <c r="I776" s="1">
        <v>5.6</v>
      </c>
      <c r="J776" s="1">
        <f>IF(AND(ISNUMBER(F776),ISNUMBER(H776)),ROUND(F776*(1+H776),2),"")</f>
        <v>6.05</v>
      </c>
      <c r="K776" s="2">
        <f>IF(AND(ISNUMBER(I776),I776&gt;0,ISNUMBER(J776)),J776/I776-1,"")</f>
        <v>0.0803571428571428</v>
      </c>
      <c r="L776" t="s">
        <v>38</v>
      </c>
      <c r="N776" s="1" t="s">
        <f>IF(AND(ISNUMBER(U776),U776&gt;0,ISNUMBER(J776)),ROUND(J776/U776,2),"")</f>
        <v>39</v>
      </c>
      <c r="Q776" t="s">
        <v>40</v>
      </c>
      <c r="R776" t="s">
        <v>39</v>
      </c>
      <c r="S776">
        <v>526806</v>
      </c>
      <c r="T776">
        <v>526806</v>
      </c>
      <c r="X776" t="s">
        <v>41</v>
      </c>
      <c r="Z776" s="1">
        <v>5.6</v>
      </c>
      <c r="AA776" s="1">
        <f>IF(AND(ISNUMBER(Z776),ISNUMBER(I776),I776&gt;0,ISNUMBER(J776)),ROUND(Z776*J776/I776,2),"")</f>
        <v>6.05</v>
      </c>
      <c r="AB776" t="s">
        <v>42</v>
      </c>
      <c r="AC776" t="s">
        <v>43</v>
      </c>
      <c r="AD776" t="s">
        <v>44</v>
      </c>
      <c r="AE776" t="s">
        <v>45</v>
      </c>
    </row>
    <row r="777">
      <c r="A777">
        <v>1004526</v>
      </c>
      <c r="B777">
        <v>1004526</v>
      </c>
      <c r="C777" t="s">
        <v>1165</v>
      </c>
      <c r="D777" t="s">
        <v>1137</v>
      </c>
      <c r="E777" t="s">
        <v>63</v>
      </c>
      <c r="F777" s="1">
        <v>7</v>
      </c>
      <c r="G777" s="2">
        <v>0.4</v>
      </c>
      <c r="H777" s="2">
        <v>0.512</v>
      </c>
      <c r="I777" s="1">
        <v>9.8</v>
      </c>
      <c r="J777" s="1">
        <f>IF(AND(ISNUMBER(F777),ISNUMBER(H777)),ROUND(F777*(1+H777),2),"")</f>
        <v>10.58</v>
      </c>
      <c r="K777" s="2">
        <f>IF(AND(ISNUMBER(I777),I777&gt;0,ISNUMBER(J777)),J777/I777-1,"")</f>
        <v>0.07959183673469372</v>
      </c>
      <c r="L777" t="s">
        <v>38</v>
      </c>
      <c r="N777" s="1" t="s">
        <f>IF(AND(ISNUMBER(U777),U777&gt;0,ISNUMBER(J777)),ROUND(J777/U777,2),"")</f>
        <v>39</v>
      </c>
      <c r="Q777" t="s">
        <v>40</v>
      </c>
      <c r="R777" t="s">
        <v>39</v>
      </c>
      <c r="S777">
        <v>784562</v>
      </c>
      <c r="T777">
        <v>784562</v>
      </c>
      <c r="X777" t="s">
        <v>41</v>
      </c>
      <c r="Z777" s="1">
        <v>9.8</v>
      </c>
      <c r="AA777" s="1">
        <f>IF(AND(ISNUMBER(Z777),ISNUMBER(I777),I777&gt;0,ISNUMBER(J777)),ROUND(Z777*J777/I777,2),"")</f>
        <v>10.58</v>
      </c>
      <c r="AB777" t="s">
        <v>42</v>
      </c>
      <c r="AC777" t="s">
        <v>43</v>
      </c>
      <c r="AD777" t="s">
        <v>48</v>
      </c>
      <c r="AE777" t="s">
        <v>45</v>
      </c>
    </row>
    <row r="778">
      <c r="A778">
        <v>1004531</v>
      </c>
      <c r="B778">
        <v>1004531</v>
      </c>
      <c r="C778" t="s">
        <v>1166</v>
      </c>
      <c r="D778" t="s">
        <v>1137</v>
      </c>
      <c r="E778" t="s">
        <v>63</v>
      </c>
      <c r="F778" s="1">
        <v>7</v>
      </c>
      <c r="G778" s="2">
        <v>0.4</v>
      </c>
      <c r="H778" s="2">
        <v>0.512</v>
      </c>
      <c r="I778" s="1">
        <v>9.8</v>
      </c>
      <c r="J778" s="1">
        <f>IF(AND(ISNUMBER(F778),ISNUMBER(H778)),ROUND(F778*(1+H778),2),"")</f>
        <v>10.58</v>
      </c>
      <c r="K778" s="2">
        <f>IF(AND(ISNUMBER(I778),I778&gt;0,ISNUMBER(J778)),J778/I778-1,"")</f>
        <v>0.07959183673469372</v>
      </c>
      <c r="L778" t="s">
        <v>38</v>
      </c>
      <c r="N778" s="1" t="s">
        <f>IF(AND(ISNUMBER(U778),U778&gt;0,ISNUMBER(J778)),ROUND(J778/U778,2),"")</f>
        <v>39</v>
      </c>
      <c r="Q778" t="s">
        <v>40</v>
      </c>
      <c r="R778" t="s">
        <v>39</v>
      </c>
      <c r="S778">
        <v>784571</v>
      </c>
      <c r="T778">
        <v>784571</v>
      </c>
      <c r="X778" t="s">
        <v>41</v>
      </c>
      <c r="Z778" s="1">
        <v>9.8</v>
      </c>
      <c r="AA778" s="1">
        <f>IF(AND(ISNUMBER(Z778),ISNUMBER(I778),I778&gt;0,ISNUMBER(J778)),ROUND(Z778*J778/I778,2),"")</f>
        <v>10.58</v>
      </c>
      <c r="AB778" t="s">
        <v>42</v>
      </c>
      <c r="AC778" t="s">
        <v>43</v>
      </c>
      <c r="AD778" t="s">
        <v>48</v>
      </c>
      <c r="AE778" t="s">
        <v>45</v>
      </c>
    </row>
    <row r="779">
      <c r="A779">
        <v>1004529</v>
      </c>
      <c r="B779">
        <v>1004529</v>
      </c>
      <c r="C779" t="s">
        <v>1167</v>
      </c>
      <c r="D779" t="s">
        <v>1137</v>
      </c>
      <c r="E779" t="s">
        <v>63</v>
      </c>
      <c r="F779" s="1">
        <v>7</v>
      </c>
      <c r="G779" s="2">
        <v>0.4</v>
      </c>
      <c r="H779" s="2">
        <v>0.512</v>
      </c>
      <c r="I779" s="1">
        <v>9.8</v>
      </c>
      <c r="J779" s="1">
        <f>IF(AND(ISNUMBER(F779),ISNUMBER(H779)),ROUND(F779*(1+H779),2),"")</f>
        <v>10.58</v>
      </c>
      <c r="K779" s="2">
        <f>IF(AND(ISNUMBER(I779),I779&gt;0,ISNUMBER(J779)),J779/I779-1,"")</f>
        <v>0.07959183673469372</v>
      </c>
      <c r="L779" t="s">
        <v>38</v>
      </c>
      <c r="N779" s="1" t="s">
        <f>IF(AND(ISNUMBER(U779),U779&gt;0,ISNUMBER(J779)),ROUND(J779/U779,2),"")</f>
        <v>39</v>
      </c>
      <c r="Q779" t="s">
        <v>40</v>
      </c>
      <c r="R779" t="s">
        <v>39</v>
      </c>
      <c r="S779">
        <v>784568</v>
      </c>
      <c r="T779">
        <v>784568</v>
      </c>
      <c r="X779" t="s">
        <v>41</v>
      </c>
      <c r="Z779" s="1">
        <v>9.8</v>
      </c>
      <c r="AA779" s="1">
        <f>IF(AND(ISNUMBER(Z779),ISNUMBER(I779),I779&gt;0,ISNUMBER(J779)),ROUND(Z779*J779/I779,2),"")</f>
        <v>10.58</v>
      </c>
      <c r="AB779" t="s">
        <v>42</v>
      </c>
      <c r="AC779" t="s">
        <v>43</v>
      </c>
      <c r="AD779" t="s">
        <v>48</v>
      </c>
      <c r="AE779" t="s">
        <v>45</v>
      </c>
    </row>
    <row r="780">
      <c r="A780">
        <v>948123</v>
      </c>
      <c r="B780">
        <v>948123</v>
      </c>
      <c r="C780" t="s">
        <v>1168</v>
      </c>
      <c r="D780" t="s">
        <v>1137</v>
      </c>
      <c r="E780" t="s">
        <v>63</v>
      </c>
      <c r="F780" s="1">
        <v>8</v>
      </c>
      <c r="G780" s="2">
        <v>0.4</v>
      </c>
      <c r="H780" s="2">
        <v>0.512</v>
      </c>
      <c r="I780" s="1">
        <v>11.2</v>
      </c>
      <c r="J780" s="1">
        <f>IF(AND(ISNUMBER(F780),ISNUMBER(H780)),ROUND(F780*(1+H780),2),"")</f>
        <v>12.1</v>
      </c>
      <c r="K780" s="2">
        <f>IF(AND(ISNUMBER(I780),I780&gt;0,ISNUMBER(J780)),J780/I780-1,"")</f>
        <v>0.0803571428571428</v>
      </c>
      <c r="L780" t="s">
        <v>38</v>
      </c>
      <c r="N780" s="1" t="s">
        <f>IF(AND(ISNUMBER(U780),U780&gt;0,ISNUMBER(J780)),ROUND(J780/U780,2),"")</f>
        <v>39</v>
      </c>
      <c r="Q780" t="s">
        <v>40</v>
      </c>
      <c r="R780" t="s">
        <v>39</v>
      </c>
      <c r="S780">
        <v>703445</v>
      </c>
      <c r="T780">
        <v>703445</v>
      </c>
      <c r="X780" t="s">
        <v>41</v>
      </c>
      <c r="Z780" s="1">
        <v>11.2</v>
      </c>
      <c r="AA780" s="1">
        <f>IF(AND(ISNUMBER(Z780),ISNUMBER(I780),I780&gt;0,ISNUMBER(J780)),ROUND(Z780*J780/I780,2),"")</f>
        <v>12.1</v>
      </c>
      <c r="AB780" t="s">
        <v>42</v>
      </c>
      <c r="AC780" t="s">
        <v>43</v>
      </c>
      <c r="AD780" t="s">
        <v>48</v>
      </c>
      <c r="AE780" t="s">
        <v>45</v>
      </c>
    </row>
    <row r="781">
      <c r="A781">
        <v>805752</v>
      </c>
      <c r="B781">
        <v>805752</v>
      </c>
      <c r="C781" t="s">
        <v>1169</v>
      </c>
      <c r="D781" t="s">
        <v>1137</v>
      </c>
      <c r="E781" t="s">
        <v>96</v>
      </c>
      <c r="F781" s="1">
        <v>4</v>
      </c>
      <c r="G781" s="2">
        <v>0.4</v>
      </c>
      <c r="H781" s="2">
        <v>0.512</v>
      </c>
      <c r="I781" s="1">
        <v>5.6</v>
      </c>
      <c r="J781" s="1">
        <f>IF(AND(ISNUMBER(F781),ISNUMBER(H781)),ROUND(F781*(1+H781),2),"")</f>
        <v>6.05</v>
      </c>
      <c r="K781" s="2">
        <f>IF(AND(ISNUMBER(I781),I781&gt;0,ISNUMBER(J781)),J781/I781-1,"")</f>
        <v>0.0803571428571428</v>
      </c>
      <c r="L781" t="s">
        <v>38</v>
      </c>
      <c r="N781" s="1" t="s">
        <f>IF(AND(ISNUMBER(U781),U781&gt;0,ISNUMBER(J781)),ROUND(J781/U781,2),"")</f>
        <v>39</v>
      </c>
      <c r="Q781" t="s">
        <v>40</v>
      </c>
      <c r="R781" t="s">
        <v>39</v>
      </c>
      <c r="S781">
        <v>526807</v>
      </c>
      <c r="T781">
        <v>526807</v>
      </c>
      <c r="X781" t="s">
        <v>41</v>
      </c>
      <c r="Z781" s="1">
        <v>5.6</v>
      </c>
      <c r="AA781" s="1">
        <f>IF(AND(ISNUMBER(Z781),ISNUMBER(I781),I781&gt;0,ISNUMBER(J781)),ROUND(Z781*J781/I781,2),"")</f>
        <v>6.05</v>
      </c>
      <c r="AB781" t="s">
        <v>42</v>
      </c>
      <c r="AC781" t="s">
        <v>43</v>
      </c>
      <c r="AD781" t="s">
        <v>44</v>
      </c>
      <c r="AE781" t="s">
        <v>45</v>
      </c>
    </row>
    <row r="782">
      <c r="A782">
        <v>948124</v>
      </c>
      <c r="B782">
        <v>948124</v>
      </c>
      <c r="C782" t="s">
        <v>1170</v>
      </c>
      <c r="D782" t="s">
        <v>1137</v>
      </c>
      <c r="E782" t="s">
        <v>63</v>
      </c>
      <c r="F782" s="1">
        <v>8</v>
      </c>
      <c r="G782" s="2">
        <v>0.4</v>
      </c>
      <c r="H782" s="2">
        <v>0.512</v>
      </c>
      <c r="I782" s="1">
        <v>11.2</v>
      </c>
      <c r="J782" s="1">
        <f>IF(AND(ISNUMBER(F782),ISNUMBER(H782)),ROUND(F782*(1+H782),2),"")</f>
        <v>12.1</v>
      </c>
      <c r="K782" s="2">
        <f>IF(AND(ISNUMBER(I782),I782&gt;0,ISNUMBER(J782)),J782/I782-1,"")</f>
        <v>0.0803571428571428</v>
      </c>
      <c r="L782" t="s">
        <v>38</v>
      </c>
      <c r="N782" s="1" t="s">
        <f>IF(AND(ISNUMBER(U782),U782&gt;0,ISNUMBER(J782)),ROUND(J782/U782,2),"")</f>
        <v>39</v>
      </c>
      <c r="Q782" t="s">
        <v>40</v>
      </c>
      <c r="R782" t="s">
        <v>39</v>
      </c>
      <c r="S782">
        <v>703446</v>
      </c>
      <c r="T782">
        <v>703446</v>
      </c>
      <c r="X782" t="s">
        <v>41</v>
      </c>
      <c r="Z782" s="1">
        <v>11.2</v>
      </c>
      <c r="AA782" s="1">
        <f>IF(AND(ISNUMBER(Z782),ISNUMBER(I782),I782&gt;0,ISNUMBER(J782)),ROUND(Z782*J782/I782,2),"")</f>
        <v>12.1</v>
      </c>
      <c r="AB782" t="s">
        <v>42</v>
      </c>
      <c r="AC782" t="s">
        <v>43</v>
      </c>
      <c r="AD782" t="s">
        <v>48</v>
      </c>
      <c r="AE782" t="s">
        <v>45</v>
      </c>
    </row>
    <row r="783">
      <c r="A783">
        <v>1130495</v>
      </c>
      <c r="B783">
        <v>1130495</v>
      </c>
      <c r="C783" t="s">
        <v>1171</v>
      </c>
      <c r="D783" t="s">
        <v>1172</v>
      </c>
      <c r="E783" t="s">
        <v>1173</v>
      </c>
      <c r="F783" s="1">
        <v>50</v>
      </c>
      <c r="G783" s="2">
        <v>0.4</v>
      </c>
      <c r="H783" s="2">
        <v>0.512</v>
      </c>
      <c r="I783" s="1">
        <v>70</v>
      </c>
      <c r="J783" s="1">
        <f>IF(AND(ISNUMBER(F783),ISNUMBER(H783)),ROUND(F783*(1+H783),2),"")</f>
        <v>75.6</v>
      </c>
      <c r="K783" s="2">
        <f>IF(AND(ISNUMBER(I783),I783&gt;0,ISNUMBER(J783)),J783/I783-1,"")</f>
        <v>0.07999999999999985</v>
      </c>
      <c r="L783" t="s">
        <v>38</v>
      </c>
      <c r="M783" s="1">
        <v>124.44</v>
      </c>
      <c r="N783" s="1">
        <f>IF(AND(ISNUMBER(U783),U783&gt;0,ISNUMBER(J783)),ROUND(J783/U783,2),"")</f>
        <v>134.4</v>
      </c>
      <c r="Q783" t="s">
        <v>40</v>
      </c>
      <c r="R783" t="s">
        <v>39</v>
      </c>
      <c r="S783">
        <v>964562</v>
      </c>
      <c r="T783">
        <v>964562</v>
      </c>
      <c r="U783" s="3">
        <v>0.5625</v>
      </c>
      <c r="X783" t="s">
        <v>41</v>
      </c>
      <c r="Z783" s="1">
        <v>70</v>
      </c>
      <c r="AA783" s="1">
        <f>IF(AND(ISNUMBER(Z783),ISNUMBER(I783),I783&gt;0,ISNUMBER(J783)),ROUND(Z783*J783/I783,2),"")</f>
        <v>75.6</v>
      </c>
      <c r="AB783" t="s">
        <v>42</v>
      </c>
      <c r="AC783" t="s">
        <v>43</v>
      </c>
      <c r="AD783" t="s">
        <v>48</v>
      </c>
      <c r="AE783" t="s">
        <v>45</v>
      </c>
    </row>
    <row r="784">
      <c r="A784">
        <v>1012261</v>
      </c>
      <c r="B784">
        <v>1012261</v>
      </c>
      <c r="C784" t="s">
        <v>1174</v>
      </c>
      <c r="D784" t="s">
        <v>1172</v>
      </c>
      <c r="E784" t="s">
        <v>63</v>
      </c>
      <c r="F784" s="1">
        <v>23.48</v>
      </c>
      <c r="G784" s="2">
        <v>0.4</v>
      </c>
      <c r="H784" s="2">
        <v>0.512</v>
      </c>
      <c r="I784" s="1">
        <v>32.87</v>
      </c>
      <c r="J784" s="1">
        <f>IF(AND(ISNUMBER(F784),ISNUMBER(H784)),ROUND(F784*(1+H784),2),"")</f>
        <v>35.5</v>
      </c>
      <c r="K784" s="2">
        <f>IF(AND(ISNUMBER(I784),I784&gt;0,ISNUMBER(J784)),J784/I784-1,"")</f>
        <v>0.08001216915120168</v>
      </c>
      <c r="L784" t="s">
        <v>38</v>
      </c>
      <c r="N784" s="1" t="s">
        <f>IF(AND(ISNUMBER(U784),U784&gt;0,ISNUMBER(J784)),ROUND(J784/U784,2),"")</f>
        <v>39</v>
      </c>
      <c r="Q784" t="s">
        <v>40</v>
      </c>
      <c r="R784" t="s">
        <v>39</v>
      </c>
      <c r="S784">
        <v>795587</v>
      </c>
      <c r="T784">
        <v>795587</v>
      </c>
      <c r="X784" t="s">
        <v>41</v>
      </c>
      <c r="Z784" s="1">
        <v>32.87</v>
      </c>
      <c r="AA784" s="1">
        <f>IF(AND(ISNUMBER(Z784),ISNUMBER(I784),I784&gt;0,ISNUMBER(J784)),ROUND(Z784*J784/I784,2),"")</f>
        <v>35.5</v>
      </c>
      <c r="AB784" t="s">
        <v>42</v>
      </c>
      <c r="AC784" t="s">
        <v>43</v>
      </c>
      <c r="AD784" t="s">
        <v>44</v>
      </c>
      <c r="AE784" t="s">
        <v>45</v>
      </c>
    </row>
    <row r="785">
      <c r="A785">
        <v>805838</v>
      </c>
      <c r="B785">
        <v>805838</v>
      </c>
      <c r="C785" t="s">
        <v>1067</v>
      </c>
      <c r="D785" t="s">
        <v>1175</v>
      </c>
      <c r="E785" t="s">
        <v>133</v>
      </c>
      <c r="F785" s="1">
        <v>2.5</v>
      </c>
      <c r="G785" s="2">
        <v>0.4</v>
      </c>
      <c r="H785" s="2">
        <v>0.512</v>
      </c>
      <c r="I785" s="1">
        <v>3.5</v>
      </c>
      <c r="J785" s="1">
        <f>IF(AND(ISNUMBER(F785),ISNUMBER(H785)),ROUND(F785*(1+H785),2),"")</f>
        <v>3.78</v>
      </c>
      <c r="K785" s="2">
        <f>IF(AND(ISNUMBER(I785),I785&gt;0,ISNUMBER(J785)),J785/I785-1,"")</f>
        <v>0.07999999999999985</v>
      </c>
      <c r="L785" t="s">
        <v>38</v>
      </c>
      <c r="N785" s="1" t="s">
        <f>IF(AND(ISNUMBER(U785),U785&gt;0,ISNUMBER(J785)),ROUND(J785/U785,2),"")</f>
        <v>39</v>
      </c>
      <c r="Q785" t="s">
        <v>40</v>
      </c>
      <c r="R785" t="s">
        <v>39</v>
      </c>
      <c r="S785">
        <v>526896</v>
      </c>
      <c r="T785">
        <v>526896</v>
      </c>
      <c r="X785" t="s">
        <v>41</v>
      </c>
      <c r="Z785" s="1">
        <v>3.5</v>
      </c>
      <c r="AA785" s="1">
        <f>IF(AND(ISNUMBER(Z785),ISNUMBER(I785),I785&gt;0,ISNUMBER(J785)),ROUND(Z785*J785/I785,2),"")</f>
        <v>3.78</v>
      </c>
      <c r="AB785" t="s">
        <v>42</v>
      </c>
      <c r="AC785" t="s">
        <v>43</v>
      </c>
      <c r="AD785" t="s">
        <v>48</v>
      </c>
      <c r="AE785" t="s">
        <v>45</v>
      </c>
    </row>
    <row r="786">
      <c r="A786">
        <v>901471</v>
      </c>
      <c r="B786">
        <v>901471</v>
      </c>
      <c r="C786" t="s">
        <v>1176</v>
      </c>
      <c r="D786" t="s">
        <v>1175</v>
      </c>
      <c r="E786" t="s">
        <v>63</v>
      </c>
      <c r="F786" s="1">
        <v>1</v>
      </c>
      <c r="G786" s="2">
        <v>0.4</v>
      </c>
      <c r="H786" s="2">
        <v>0.512</v>
      </c>
      <c r="I786" s="1">
        <v>1.4</v>
      </c>
      <c r="J786" s="1">
        <f>IF(AND(ISNUMBER(F786),ISNUMBER(H786)),ROUND(F786*(1+H786),2),"")</f>
        <v>1.51</v>
      </c>
      <c r="K786" s="2">
        <f>IF(AND(ISNUMBER(I786),I786&gt;0,ISNUMBER(J786)),J786/I786-1,"")</f>
        <v>0.07857142857142874</v>
      </c>
      <c r="L786" t="s">
        <v>38</v>
      </c>
      <c r="N786" s="1" t="s">
        <f>IF(AND(ISNUMBER(U786),U786&gt;0,ISNUMBER(J786)),ROUND(J786/U786,2),"")</f>
        <v>39</v>
      </c>
      <c r="Q786" t="s">
        <v>40</v>
      </c>
      <c r="R786" t="s">
        <v>39</v>
      </c>
      <c r="S786">
        <v>643754</v>
      </c>
      <c r="T786">
        <v>643754</v>
      </c>
      <c r="X786" t="s">
        <v>41</v>
      </c>
      <c r="Z786" s="1">
        <v>1.4</v>
      </c>
      <c r="AA786" s="1">
        <f>IF(AND(ISNUMBER(Z786),ISNUMBER(I786),I786&gt;0,ISNUMBER(J786)),ROUND(Z786*J786/I786,2),"")</f>
        <v>1.51</v>
      </c>
      <c r="AB786" t="s">
        <v>42</v>
      </c>
      <c r="AC786" t="s">
        <v>43</v>
      </c>
      <c r="AD786" t="s">
        <v>48</v>
      </c>
      <c r="AE786" t="s">
        <v>45</v>
      </c>
    </row>
    <row r="787">
      <c r="A787">
        <v>1014310</v>
      </c>
      <c r="B787">
        <v>1014310</v>
      </c>
      <c r="C787" t="s">
        <v>1177</v>
      </c>
      <c r="D787" t="s">
        <v>1175</v>
      </c>
      <c r="E787" t="s">
        <v>98</v>
      </c>
      <c r="F787" s="1">
        <v>2.5</v>
      </c>
      <c r="G787" s="2">
        <v>0.4</v>
      </c>
      <c r="H787" s="2">
        <v>0.512</v>
      </c>
      <c r="I787" s="1">
        <v>3.5</v>
      </c>
      <c r="J787" s="1">
        <f>IF(AND(ISNUMBER(F787),ISNUMBER(H787)),ROUND(F787*(1+H787),2),"")</f>
        <v>3.78</v>
      </c>
      <c r="K787" s="2">
        <f>IF(AND(ISNUMBER(I787),I787&gt;0,ISNUMBER(J787)),J787/I787-1,"")</f>
        <v>0.07999999999999985</v>
      </c>
      <c r="L787" t="s">
        <v>38</v>
      </c>
      <c r="N787" s="1" t="s">
        <f>IF(AND(ISNUMBER(U787),U787&gt;0,ISNUMBER(J787)),ROUND(J787/U787,2),"")</f>
        <v>39</v>
      </c>
      <c r="Q787" t="s">
        <v>40</v>
      </c>
      <c r="R787" t="s">
        <v>39</v>
      </c>
      <c r="S787">
        <v>798441</v>
      </c>
      <c r="T787">
        <v>798441</v>
      </c>
      <c r="X787" t="s">
        <v>41</v>
      </c>
      <c r="Z787" s="1">
        <v>3.5</v>
      </c>
      <c r="AA787" s="1">
        <f>IF(AND(ISNUMBER(Z787),ISNUMBER(I787),I787&gt;0,ISNUMBER(J787)),ROUND(Z787*J787/I787,2),"")</f>
        <v>3.78</v>
      </c>
      <c r="AB787" t="s">
        <v>42</v>
      </c>
      <c r="AC787" t="s">
        <v>43</v>
      </c>
      <c r="AD787" t="s">
        <v>48</v>
      </c>
      <c r="AE787" t="s">
        <v>45</v>
      </c>
    </row>
    <row r="788">
      <c r="A788">
        <v>1106688</v>
      </c>
      <c r="B788">
        <v>1106688</v>
      </c>
      <c r="C788" t="s">
        <v>1178</v>
      </c>
      <c r="D788" t="s">
        <v>1175</v>
      </c>
      <c r="E788" t="s">
        <v>719</v>
      </c>
      <c r="F788" s="1">
        <v>4</v>
      </c>
      <c r="G788" s="2">
        <v>0.4</v>
      </c>
      <c r="H788" s="2">
        <v>0.512</v>
      </c>
      <c r="I788" s="1">
        <v>5.6</v>
      </c>
      <c r="J788" s="1">
        <f>IF(AND(ISNUMBER(F788),ISNUMBER(H788)),ROUND(F788*(1+H788),2),"")</f>
        <v>6.05</v>
      </c>
      <c r="K788" s="2">
        <f>IF(AND(ISNUMBER(I788),I788&gt;0,ISNUMBER(J788)),J788/I788-1,"")</f>
        <v>0.0803571428571428</v>
      </c>
      <c r="L788" t="s">
        <v>38</v>
      </c>
      <c r="N788" s="1" t="s">
        <f>IF(AND(ISNUMBER(U788),U788&gt;0,ISNUMBER(J788)),ROUND(J788/U788,2),"")</f>
        <v>39</v>
      </c>
      <c r="Q788" t="s">
        <v>40</v>
      </c>
      <c r="R788" t="s">
        <v>39</v>
      </c>
      <c r="S788">
        <v>924741</v>
      </c>
      <c r="T788">
        <v>924741</v>
      </c>
      <c r="X788" t="s">
        <v>41</v>
      </c>
      <c r="Z788" s="1">
        <v>5.6</v>
      </c>
      <c r="AA788" s="1">
        <f>IF(AND(ISNUMBER(Z788),ISNUMBER(I788),I788&gt;0,ISNUMBER(J788)),ROUND(Z788*J788/I788,2),"")</f>
        <v>6.05</v>
      </c>
      <c r="AB788" t="s">
        <v>42</v>
      </c>
      <c r="AC788" t="s">
        <v>43</v>
      </c>
      <c r="AD788" t="s">
        <v>48</v>
      </c>
      <c r="AE788" t="s">
        <v>45</v>
      </c>
    </row>
    <row r="789">
      <c r="A789">
        <v>805753</v>
      </c>
      <c r="B789">
        <v>805753</v>
      </c>
      <c r="C789" t="s">
        <v>1179</v>
      </c>
      <c r="D789" t="s">
        <v>1175</v>
      </c>
      <c r="E789" t="s">
        <v>96</v>
      </c>
      <c r="F789" s="1">
        <v>10</v>
      </c>
      <c r="G789" s="2">
        <v>0.4</v>
      </c>
      <c r="H789" s="2">
        <v>0.512</v>
      </c>
      <c r="I789" s="1">
        <v>14</v>
      </c>
      <c r="J789" s="1">
        <f>IF(AND(ISNUMBER(F789),ISNUMBER(H789)),ROUND(F789*(1+H789),2),"")</f>
        <v>15.12</v>
      </c>
      <c r="K789" s="2">
        <f>IF(AND(ISNUMBER(I789),I789&gt;0,ISNUMBER(J789)),J789/I789-1,"")</f>
        <v>0.07999999999999985</v>
      </c>
      <c r="L789" t="s">
        <v>38</v>
      </c>
      <c r="N789" s="1" t="s">
        <f>IF(AND(ISNUMBER(U789),U789&gt;0,ISNUMBER(J789)),ROUND(J789/U789,2),"")</f>
        <v>39</v>
      </c>
      <c r="Q789" t="s">
        <v>40</v>
      </c>
      <c r="R789" t="s">
        <v>39</v>
      </c>
      <c r="S789">
        <v>526808</v>
      </c>
      <c r="T789">
        <v>526808</v>
      </c>
      <c r="X789" t="s">
        <v>41</v>
      </c>
      <c r="Z789" s="1">
        <v>14</v>
      </c>
      <c r="AA789" s="1">
        <f>IF(AND(ISNUMBER(Z789),ISNUMBER(I789),I789&gt;0,ISNUMBER(J789)),ROUND(Z789*J789/I789,2),"")</f>
        <v>15.12</v>
      </c>
      <c r="AB789" t="s">
        <v>42</v>
      </c>
      <c r="AC789" t="s">
        <v>43</v>
      </c>
      <c r="AD789" t="s">
        <v>44</v>
      </c>
      <c r="AE789" t="s">
        <v>45</v>
      </c>
    </row>
    <row r="790">
      <c r="A790">
        <v>994762</v>
      </c>
      <c r="B790">
        <v>994762</v>
      </c>
      <c r="C790" t="s">
        <v>1180</v>
      </c>
      <c r="D790" t="s">
        <v>1175</v>
      </c>
      <c r="E790" t="s">
        <v>770</v>
      </c>
      <c r="F790" s="1">
        <v>2.5</v>
      </c>
      <c r="G790" s="2">
        <v>0.4</v>
      </c>
      <c r="H790" s="2">
        <v>0.512</v>
      </c>
      <c r="I790" s="1">
        <v>3.5</v>
      </c>
      <c r="J790" s="1">
        <f>IF(AND(ISNUMBER(F790),ISNUMBER(H790)),ROUND(F790*(1+H790),2),"")</f>
        <v>3.78</v>
      </c>
      <c r="K790" s="2">
        <f>IF(AND(ISNUMBER(I790),I790&gt;0,ISNUMBER(J790)),J790/I790-1,"")</f>
        <v>0.07999999999999985</v>
      </c>
      <c r="L790" t="s">
        <v>38</v>
      </c>
      <c r="N790" s="1" t="s">
        <f>IF(AND(ISNUMBER(U790),U790&gt;0,ISNUMBER(J790)),ROUND(J790/U790,2),"")</f>
        <v>39</v>
      </c>
      <c r="Q790" t="s">
        <v>40</v>
      </c>
      <c r="R790" t="s">
        <v>39</v>
      </c>
      <c r="S790">
        <v>768673</v>
      </c>
      <c r="T790">
        <v>768673</v>
      </c>
      <c r="X790" t="s">
        <v>41</v>
      </c>
      <c r="Z790" s="1">
        <v>3.5</v>
      </c>
      <c r="AA790" s="1">
        <f>IF(AND(ISNUMBER(Z790),ISNUMBER(I790),I790&gt;0,ISNUMBER(J790)),ROUND(Z790*J790/I790,2),"")</f>
        <v>3.78</v>
      </c>
      <c r="AB790" t="s">
        <v>42</v>
      </c>
      <c r="AC790" t="s">
        <v>43</v>
      </c>
      <c r="AD790" t="s">
        <v>48</v>
      </c>
      <c r="AE790" t="s">
        <v>45</v>
      </c>
    </row>
    <row r="791">
      <c r="A791">
        <v>1072323</v>
      </c>
      <c r="B791">
        <v>1072323</v>
      </c>
      <c r="C791" t="s">
        <v>1181</v>
      </c>
      <c r="D791" t="s">
        <v>1175</v>
      </c>
      <c r="E791" t="s">
        <v>1182</v>
      </c>
      <c r="F791" s="1">
        <v>6.5</v>
      </c>
      <c r="G791" s="2">
        <v>0.4</v>
      </c>
      <c r="H791" s="2">
        <v>0.512</v>
      </c>
      <c r="I791" s="1">
        <v>9.1</v>
      </c>
      <c r="J791" s="1">
        <f>IF(AND(ISNUMBER(F791),ISNUMBER(H791)),ROUND(F791*(1+H791),2),"")</f>
        <v>9.83</v>
      </c>
      <c r="K791" s="2">
        <f>IF(AND(ISNUMBER(I791),I791&gt;0,ISNUMBER(J791)),J791/I791-1,"")</f>
        <v>0.08021978021978038</v>
      </c>
      <c r="L791" t="s">
        <v>38</v>
      </c>
      <c r="M791" s="1">
        <v>72.8</v>
      </c>
      <c r="N791" s="1">
        <f>IF(AND(ISNUMBER(U791),U791&gt;0,ISNUMBER(J791)),ROUND(J791/U791,2),"")</f>
        <v>78.64</v>
      </c>
      <c r="Q791" t="s">
        <v>40</v>
      </c>
      <c r="R791" t="s">
        <v>39</v>
      </c>
      <c r="S791">
        <v>881484</v>
      </c>
      <c r="T791">
        <v>881484</v>
      </c>
      <c r="U791" s="3">
        <v>0.125</v>
      </c>
      <c r="X791" t="s">
        <v>41</v>
      </c>
      <c r="Z791" s="1">
        <v>9.1</v>
      </c>
      <c r="AA791" s="1">
        <f>IF(AND(ISNUMBER(Z791),ISNUMBER(I791),I791&gt;0,ISNUMBER(J791)),ROUND(Z791*J791/I791,2),"")</f>
        <v>9.83</v>
      </c>
      <c r="AB791" t="s">
        <v>42</v>
      </c>
      <c r="AC791" t="s">
        <v>43</v>
      </c>
      <c r="AD791" t="s">
        <v>48</v>
      </c>
      <c r="AE791" t="s">
        <v>45</v>
      </c>
    </row>
    <row r="792">
      <c r="A792">
        <v>956222</v>
      </c>
      <c r="B792">
        <v>956222</v>
      </c>
      <c r="C792" t="s">
        <v>1183</v>
      </c>
      <c r="D792" t="s">
        <v>1175</v>
      </c>
      <c r="E792" t="s">
        <v>92</v>
      </c>
      <c r="F792" s="1">
        <v>2</v>
      </c>
      <c r="G792" s="2">
        <v>0.4</v>
      </c>
      <c r="H792" s="2">
        <v>0.512</v>
      </c>
      <c r="I792" s="1">
        <v>2.8</v>
      </c>
      <c r="J792" s="1">
        <f>IF(AND(ISNUMBER(F792),ISNUMBER(H792)),ROUND(F792*(1+H792),2),"")</f>
        <v>3.02</v>
      </c>
      <c r="K792" s="2">
        <f>IF(AND(ISNUMBER(I792),I792&gt;0,ISNUMBER(J792)),J792/I792-1,"")</f>
        <v>0.07857142857142874</v>
      </c>
      <c r="L792" t="s">
        <v>38</v>
      </c>
      <c r="M792" s="1">
        <v>2.8</v>
      </c>
      <c r="N792" s="1">
        <f>IF(AND(ISNUMBER(U792),U792&gt;0,ISNUMBER(J792)),ROUND(J792/U792,2),"")</f>
        <v>3.02</v>
      </c>
      <c r="Q792" t="s">
        <v>40</v>
      </c>
      <c r="R792" t="s">
        <v>39</v>
      </c>
      <c r="S792">
        <v>714932</v>
      </c>
      <c r="T792">
        <v>714932</v>
      </c>
      <c r="U792" s="3">
        <v>1</v>
      </c>
      <c r="X792" t="s">
        <v>41</v>
      </c>
      <c r="Z792" s="1">
        <v>2.8</v>
      </c>
      <c r="AA792" s="1">
        <f>IF(AND(ISNUMBER(Z792),ISNUMBER(I792),I792&gt;0,ISNUMBER(J792)),ROUND(Z792*J792/I792,2),"")</f>
        <v>3.02</v>
      </c>
      <c r="AB792" t="s">
        <v>42</v>
      </c>
      <c r="AC792" t="s">
        <v>43</v>
      </c>
      <c r="AD792" t="s">
        <v>48</v>
      </c>
      <c r="AE792" t="s">
        <v>45</v>
      </c>
    </row>
    <row r="793">
      <c r="A793">
        <v>983730</v>
      </c>
      <c r="B793">
        <v>983730</v>
      </c>
      <c r="C793" t="s">
        <v>121</v>
      </c>
      <c r="D793" t="s">
        <v>1175</v>
      </c>
      <c r="E793" t="s">
        <v>96</v>
      </c>
      <c r="F793" s="1">
        <v>2.5</v>
      </c>
      <c r="G793" s="2">
        <v>0.4</v>
      </c>
      <c r="H793" s="2">
        <v>0.512</v>
      </c>
      <c r="I793" s="1">
        <v>3.5</v>
      </c>
      <c r="J793" s="1">
        <f>IF(AND(ISNUMBER(F793),ISNUMBER(H793)),ROUND(F793*(1+H793),2),"")</f>
        <v>3.78</v>
      </c>
      <c r="K793" s="2">
        <f>IF(AND(ISNUMBER(I793),I793&gt;0,ISNUMBER(J793)),J793/I793-1,"")</f>
        <v>0.07999999999999985</v>
      </c>
      <c r="L793" t="s">
        <v>38</v>
      </c>
      <c r="N793" s="1" t="s">
        <f>IF(AND(ISNUMBER(U793),U793&gt;0,ISNUMBER(J793)),ROUND(J793/U793,2),"")</f>
        <v>39</v>
      </c>
      <c r="Q793" t="s">
        <v>40</v>
      </c>
      <c r="R793" t="s">
        <v>39</v>
      </c>
      <c r="S793">
        <v>752815</v>
      </c>
      <c r="T793">
        <v>752815</v>
      </c>
      <c r="X793" t="s">
        <v>41</v>
      </c>
      <c r="Z793" s="1">
        <v>3.5</v>
      </c>
      <c r="AA793" s="1">
        <f>IF(AND(ISNUMBER(Z793),ISNUMBER(I793),I793&gt;0,ISNUMBER(J793)),ROUND(Z793*J793/I793,2),"")</f>
        <v>3.78</v>
      </c>
      <c r="AB793" t="s">
        <v>42</v>
      </c>
      <c r="AC793" t="s">
        <v>43</v>
      </c>
      <c r="AD793" t="s">
        <v>48</v>
      </c>
      <c r="AE793" t="s">
        <v>45</v>
      </c>
    </row>
    <row r="794">
      <c r="A794">
        <v>904032</v>
      </c>
      <c r="B794">
        <v>904032</v>
      </c>
      <c r="C794" t="s">
        <v>1184</v>
      </c>
      <c r="D794" t="s">
        <v>1175</v>
      </c>
      <c r="E794" t="s">
        <v>770</v>
      </c>
      <c r="F794" s="1">
        <v>3.5</v>
      </c>
      <c r="G794" s="2">
        <v>0.4</v>
      </c>
      <c r="H794" s="2">
        <v>0.512</v>
      </c>
      <c r="I794" s="1">
        <v>4.9</v>
      </c>
      <c r="J794" s="1">
        <f>IF(AND(ISNUMBER(F794),ISNUMBER(H794)),ROUND(F794*(1+H794),2),"")</f>
        <v>5.29</v>
      </c>
      <c r="K794" s="2">
        <f>IF(AND(ISNUMBER(I794),I794&gt;0,ISNUMBER(J794)),J794/I794-1,"")</f>
        <v>0.07959183673469372</v>
      </c>
      <c r="L794" t="s">
        <v>38</v>
      </c>
      <c r="N794" s="1" t="s">
        <f>IF(AND(ISNUMBER(U794),U794&gt;0,ISNUMBER(J794)),ROUND(J794/U794,2),"")</f>
        <v>39</v>
      </c>
      <c r="Q794" t="s">
        <v>40</v>
      </c>
      <c r="R794" t="s">
        <v>39</v>
      </c>
      <c r="S794">
        <v>647015</v>
      </c>
      <c r="T794">
        <v>647015</v>
      </c>
      <c r="X794" t="s">
        <v>41</v>
      </c>
      <c r="Z794" s="1">
        <v>4.9</v>
      </c>
      <c r="AA794" s="1">
        <f>IF(AND(ISNUMBER(Z794),ISNUMBER(I794),I794&gt;0,ISNUMBER(J794)),ROUND(Z794*J794/I794,2),"")</f>
        <v>5.29</v>
      </c>
      <c r="AB794" t="s">
        <v>42</v>
      </c>
      <c r="AC794" t="s">
        <v>43</v>
      </c>
      <c r="AD794" t="s">
        <v>48</v>
      </c>
      <c r="AE794" t="s">
        <v>45</v>
      </c>
    </row>
    <row r="795">
      <c r="A795">
        <v>991384</v>
      </c>
      <c r="B795">
        <v>991384</v>
      </c>
      <c r="C795" t="s">
        <v>1185</v>
      </c>
      <c r="D795" t="s">
        <v>1175</v>
      </c>
      <c r="E795" t="s">
        <v>770</v>
      </c>
      <c r="F795" s="1">
        <v>3</v>
      </c>
      <c r="G795" s="2">
        <v>0.4</v>
      </c>
      <c r="H795" s="2">
        <v>0.512</v>
      </c>
      <c r="I795" s="1">
        <v>4.2</v>
      </c>
      <c r="J795" s="1">
        <f>IF(AND(ISNUMBER(F795),ISNUMBER(H795)),ROUND(F795*(1+H795),2),"")</f>
        <v>4.54</v>
      </c>
      <c r="K795" s="2">
        <f>IF(AND(ISNUMBER(I795),I795&gt;0,ISNUMBER(J795)),J795/I795-1,"")</f>
        <v>0.08095238095238089</v>
      </c>
      <c r="L795" t="s">
        <v>38</v>
      </c>
      <c r="N795" s="1" t="s">
        <f>IF(AND(ISNUMBER(U795),U795&gt;0,ISNUMBER(J795)),ROUND(J795/U795,2),"")</f>
        <v>39</v>
      </c>
      <c r="Q795" t="s">
        <v>40</v>
      </c>
      <c r="R795" t="s">
        <v>39</v>
      </c>
      <c r="S795">
        <v>763756</v>
      </c>
      <c r="T795">
        <v>763756</v>
      </c>
      <c r="X795" t="s">
        <v>41</v>
      </c>
      <c r="Z795" s="1">
        <v>4.2</v>
      </c>
      <c r="AA795" s="1">
        <f>IF(AND(ISNUMBER(Z795),ISNUMBER(I795),I795&gt;0,ISNUMBER(J795)),ROUND(Z795*J795/I795,2),"")</f>
        <v>4.54</v>
      </c>
      <c r="AB795" t="s">
        <v>42</v>
      </c>
      <c r="AC795" t="s">
        <v>43</v>
      </c>
      <c r="AD795" t="s">
        <v>48</v>
      </c>
      <c r="AE795" t="s">
        <v>45</v>
      </c>
    </row>
    <row r="796">
      <c r="A796">
        <v>942518</v>
      </c>
      <c r="B796">
        <v>942518</v>
      </c>
      <c r="C796" t="s">
        <v>1186</v>
      </c>
      <c r="D796" t="s">
        <v>1175</v>
      </c>
      <c r="E796" t="s">
        <v>1187</v>
      </c>
      <c r="F796" s="1">
        <v>1</v>
      </c>
      <c r="G796" s="2">
        <v>0.4</v>
      </c>
      <c r="H796" s="2">
        <v>0.512</v>
      </c>
      <c r="I796" s="1">
        <v>1.4</v>
      </c>
      <c r="J796" s="1">
        <f>IF(AND(ISNUMBER(F796),ISNUMBER(H796)),ROUND(F796*(1+H796),2),"")</f>
        <v>1.51</v>
      </c>
      <c r="K796" s="2">
        <f>IF(AND(ISNUMBER(I796),I796&gt;0,ISNUMBER(J796)),J796/I796-1,"")</f>
        <v>0.07857142857142874</v>
      </c>
      <c r="L796" t="s">
        <v>38</v>
      </c>
      <c r="N796" s="1" t="s">
        <f>IF(AND(ISNUMBER(U796),U796&gt;0,ISNUMBER(J796)),ROUND(J796/U796,2),"")</f>
        <v>39</v>
      </c>
      <c r="Q796" t="s">
        <v>40</v>
      </c>
      <c r="R796" t="s">
        <v>39</v>
      </c>
      <c r="S796">
        <v>696810</v>
      </c>
      <c r="T796">
        <v>696810</v>
      </c>
      <c r="X796" t="s">
        <v>41</v>
      </c>
      <c r="Z796" s="1">
        <v>1.4</v>
      </c>
      <c r="AA796" s="1">
        <f>IF(AND(ISNUMBER(Z796),ISNUMBER(I796),I796&gt;0,ISNUMBER(J796)),ROUND(Z796*J796/I796,2),"")</f>
        <v>1.51</v>
      </c>
      <c r="AB796" t="s">
        <v>42</v>
      </c>
      <c r="AC796" t="s">
        <v>43</v>
      </c>
      <c r="AD796" t="s">
        <v>48</v>
      </c>
      <c r="AE796" t="s">
        <v>45</v>
      </c>
    </row>
    <row r="797">
      <c r="A797">
        <v>998191</v>
      </c>
      <c r="B797">
        <v>998191</v>
      </c>
      <c r="C797" t="s">
        <v>1188</v>
      </c>
      <c r="D797" t="s">
        <v>1175</v>
      </c>
      <c r="E797" t="s">
        <v>63</v>
      </c>
      <c r="F797" s="1">
        <v>1</v>
      </c>
      <c r="G797" s="2">
        <v>0.4</v>
      </c>
      <c r="H797" s="2">
        <v>0.512</v>
      </c>
      <c r="I797" s="1">
        <v>1.4</v>
      </c>
      <c r="J797" s="1">
        <f>IF(AND(ISNUMBER(F797),ISNUMBER(H797)),ROUND(F797*(1+H797),2),"")</f>
        <v>1.51</v>
      </c>
      <c r="K797" s="2">
        <f>IF(AND(ISNUMBER(I797),I797&gt;0,ISNUMBER(J797)),J797/I797-1,"")</f>
        <v>0.07857142857142874</v>
      </c>
      <c r="L797" t="s">
        <v>38</v>
      </c>
      <c r="N797" s="1" t="s">
        <f>IF(AND(ISNUMBER(U797),U797&gt;0,ISNUMBER(J797)),ROUND(J797/U797,2),"")</f>
        <v>39</v>
      </c>
      <c r="Q797" t="s">
        <v>40</v>
      </c>
      <c r="R797" t="s">
        <v>39</v>
      </c>
      <c r="S797">
        <v>774076</v>
      </c>
      <c r="T797">
        <v>774076</v>
      </c>
      <c r="X797" t="s">
        <v>41</v>
      </c>
      <c r="Z797" s="1">
        <v>1.4</v>
      </c>
      <c r="AA797" s="1">
        <f>IF(AND(ISNUMBER(Z797),ISNUMBER(I797),I797&gt;0,ISNUMBER(J797)),ROUND(Z797*J797/I797,2),"")</f>
        <v>1.51</v>
      </c>
      <c r="AB797" t="s">
        <v>42</v>
      </c>
      <c r="AC797" t="s">
        <v>43</v>
      </c>
      <c r="AD797" t="s">
        <v>44</v>
      </c>
      <c r="AE797" t="s">
        <v>45</v>
      </c>
    </row>
    <row r="798">
      <c r="A798">
        <v>805790</v>
      </c>
      <c r="B798">
        <v>805790</v>
      </c>
      <c r="C798" t="s">
        <v>1189</v>
      </c>
      <c r="D798" t="s">
        <v>1175</v>
      </c>
      <c r="E798" t="s">
        <v>96</v>
      </c>
      <c r="F798" s="1">
        <v>0.5</v>
      </c>
      <c r="G798" s="2">
        <v>0.4</v>
      </c>
      <c r="H798" s="2">
        <v>0.512</v>
      </c>
      <c r="I798" s="1">
        <v>0.7</v>
      </c>
      <c r="J798" s="1">
        <f>IF(AND(ISNUMBER(F798),ISNUMBER(H798)),ROUND(F798*(1+H798),2),"")</f>
        <v>0.76</v>
      </c>
      <c r="K798" s="2">
        <f>IF(AND(ISNUMBER(I798),I798&gt;0,ISNUMBER(J798)),J798/I798-1,"")</f>
        <v>0.08571428571428585</v>
      </c>
      <c r="L798" t="s">
        <v>38</v>
      </c>
      <c r="N798" s="1" t="s">
        <f>IF(AND(ISNUMBER(U798),U798&gt;0,ISNUMBER(J798)),ROUND(J798/U798,2),"")</f>
        <v>39</v>
      </c>
      <c r="Q798" t="s">
        <v>40</v>
      </c>
      <c r="R798" t="s">
        <v>39</v>
      </c>
      <c r="S798">
        <v>526846</v>
      </c>
      <c r="T798">
        <v>526846</v>
      </c>
      <c r="X798" t="s">
        <v>41</v>
      </c>
      <c r="Z798" s="1">
        <v>0.7</v>
      </c>
      <c r="AA798" s="1">
        <f>IF(AND(ISNUMBER(Z798),ISNUMBER(I798),I798&gt;0,ISNUMBER(J798)),ROUND(Z798*J798/I798,2),"")</f>
        <v>0.76</v>
      </c>
      <c r="AB798" t="s">
        <v>42</v>
      </c>
      <c r="AC798" t="s">
        <v>43</v>
      </c>
      <c r="AD798" t="s">
        <v>44</v>
      </c>
      <c r="AE798" t="s">
        <v>45</v>
      </c>
    </row>
    <row r="799">
      <c r="A799">
        <v>836368</v>
      </c>
      <c r="B799">
        <v>836368</v>
      </c>
      <c r="C799" t="s">
        <v>1190</v>
      </c>
      <c r="D799" t="s">
        <v>1175</v>
      </c>
      <c r="E799" t="s">
        <v>1191</v>
      </c>
      <c r="F799" s="1">
        <v>7</v>
      </c>
      <c r="G799" s="2">
        <v>0.4</v>
      </c>
      <c r="H799" s="2">
        <v>0.512</v>
      </c>
      <c r="I799" s="1">
        <v>9.8</v>
      </c>
      <c r="J799" s="1">
        <f>IF(AND(ISNUMBER(F799),ISNUMBER(H799)),ROUND(F799*(1+H799),2),"")</f>
        <v>10.58</v>
      </c>
      <c r="K799" s="2">
        <f>IF(AND(ISNUMBER(I799),I799&gt;0,ISNUMBER(J799)),J799/I799-1,"")</f>
        <v>0.07959183673469372</v>
      </c>
      <c r="L799" t="s">
        <v>38</v>
      </c>
      <c r="M799" s="1">
        <v>19.6</v>
      </c>
      <c r="N799" s="1">
        <f>IF(AND(ISNUMBER(U799),U799&gt;0,ISNUMBER(J799)),ROUND(J799/U799,2),"")</f>
        <v>21.16</v>
      </c>
      <c r="Q799" t="s">
        <v>40</v>
      </c>
      <c r="R799" t="s">
        <v>39</v>
      </c>
      <c r="S799">
        <v>562955</v>
      </c>
      <c r="T799">
        <v>562955</v>
      </c>
      <c r="U799" s="3">
        <v>0.5</v>
      </c>
      <c r="X799" t="s">
        <v>41</v>
      </c>
      <c r="Z799" s="1">
        <v>9.8</v>
      </c>
      <c r="AA799" s="1">
        <f>IF(AND(ISNUMBER(Z799),ISNUMBER(I799),I799&gt;0,ISNUMBER(J799)),ROUND(Z799*J799/I799,2),"")</f>
        <v>10.58</v>
      </c>
      <c r="AB799" t="s">
        <v>42</v>
      </c>
      <c r="AC799" t="s">
        <v>43</v>
      </c>
      <c r="AD799" t="s">
        <v>48</v>
      </c>
      <c r="AE799" t="s">
        <v>45</v>
      </c>
    </row>
    <row r="800">
      <c r="A800">
        <v>821118</v>
      </c>
      <c r="B800">
        <v>821118</v>
      </c>
      <c r="C800" t="s">
        <v>1192</v>
      </c>
      <c r="D800" t="s">
        <v>1175</v>
      </c>
      <c r="E800" t="s">
        <v>63</v>
      </c>
      <c r="F800" s="1">
        <v>1.5</v>
      </c>
      <c r="G800" s="2">
        <v>0.4</v>
      </c>
      <c r="H800" s="2">
        <v>0.512</v>
      </c>
      <c r="I800" s="1">
        <v>2.1</v>
      </c>
      <c r="J800" s="1">
        <f>IF(AND(ISNUMBER(F800),ISNUMBER(H800)),ROUND(F800*(1+H800),2),"")</f>
        <v>2.27</v>
      </c>
      <c r="K800" s="2">
        <f>IF(AND(ISNUMBER(I800),I800&gt;0,ISNUMBER(J800)),J800/I800-1,"")</f>
        <v>0.08095238095238089</v>
      </c>
      <c r="L800" t="s">
        <v>38</v>
      </c>
      <c r="N800" s="1" t="s">
        <f>IF(AND(ISNUMBER(U800),U800&gt;0,ISNUMBER(J800)),ROUND(J800/U800,2),"")</f>
        <v>39</v>
      </c>
      <c r="Q800" t="s">
        <v>40</v>
      </c>
      <c r="R800" t="s">
        <v>39</v>
      </c>
      <c r="S800">
        <v>544095</v>
      </c>
      <c r="T800">
        <v>544095</v>
      </c>
      <c r="X800" t="s">
        <v>41</v>
      </c>
      <c r="Z800" s="1">
        <v>2.1</v>
      </c>
      <c r="AA800" s="1">
        <f>IF(AND(ISNUMBER(Z800),ISNUMBER(I800),I800&gt;0,ISNUMBER(J800)),ROUND(Z800*J800/I800,2),"")</f>
        <v>2.27</v>
      </c>
      <c r="AB800" t="s">
        <v>42</v>
      </c>
      <c r="AC800" t="s">
        <v>43</v>
      </c>
      <c r="AD800" t="s">
        <v>48</v>
      </c>
      <c r="AE800" t="s">
        <v>45</v>
      </c>
    </row>
    <row r="801">
      <c r="A801">
        <v>1042575</v>
      </c>
      <c r="B801">
        <v>1042575</v>
      </c>
      <c r="C801" t="s">
        <v>1193</v>
      </c>
      <c r="D801" t="s">
        <v>1175</v>
      </c>
      <c r="E801" t="s">
        <v>323</v>
      </c>
      <c r="F801" s="1">
        <v>6</v>
      </c>
      <c r="G801" s="2">
        <v>0.4</v>
      </c>
      <c r="H801" s="2">
        <v>0.512</v>
      </c>
      <c r="I801" s="1">
        <v>8.4</v>
      </c>
      <c r="J801" s="1">
        <f>IF(AND(ISNUMBER(F801),ISNUMBER(H801)),ROUND(F801*(1+H801),2),"")</f>
        <v>9.07</v>
      </c>
      <c r="K801" s="2">
        <f>IF(AND(ISNUMBER(I801),I801&gt;0,ISNUMBER(J801)),J801/I801-1,"")</f>
        <v>0.0797619047619047</v>
      </c>
      <c r="L801" t="s">
        <v>38</v>
      </c>
      <c r="M801" s="1">
        <v>8.4</v>
      </c>
      <c r="N801" s="1">
        <f>IF(AND(ISNUMBER(U801),U801&gt;0,ISNUMBER(J801)),ROUND(J801/U801,2),"")</f>
        <v>9.07</v>
      </c>
      <c r="Q801" t="s">
        <v>40</v>
      </c>
      <c r="R801" t="s">
        <v>39</v>
      </c>
      <c r="S801">
        <v>844561</v>
      </c>
      <c r="T801">
        <v>844561</v>
      </c>
      <c r="U801" s="3">
        <v>1</v>
      </c>
      <c r="X801" t="s">
        <v>41</v>
      </c>
      <c r="Z801" s="1">
        <v>8.4</v>
      </c>
      <c r="AA801" s="1">
        <f>IF(AND(ISNUMBER(Z801),ISNUMBER(I801),I801&gt;0,ISNUMBER(J801)),ROUND(Z801*J801/I801,2),"")</f>
        <v>9.07</v>
      </c>
      <c r="AB801" t="s">
        <v>42</v>
      </c>
      <c r="AC801" t="s">
        <v>43</v>
      </c>
      <c r="AD801" t="s">
        <v>48</v>
      </c>
      <c r="AE801" t="s">
        <v>45</v>
      </c>
    </row>
    <row r="802">
      <c r="A802">
        <v>805793</v>
      </c>
      <c r="B802">
        <v>805793</v>
      </c>
      <c r="C802" t="s">
        <v>1194</v>
      </c>
      <c r="D802" t="s">
        <v>1175</v>
      </c>
      <c r="E802" t="s">
        <v>96</v>
      </c>
      <c r="F802" s="1">
        <v>3</v>
      </c>
      <c r="G802" s="2">
        <v>0.4</v>
      </c>
      <c r="H802" s="2">
        <v>0.512</v>
      </c>
      <c r="I802" s="1">
        <v>4.2</v>
      </c>
      <c r="J802" s="1">
        <f>IF(AND(ISNUMBER(F802),ISNUMBER(H802)),ROUND(F802*(1+H802),2),"")</f>
        <v>4.54</v>
      </c>
      <c r="K802" s="2">
        <f>IF(AND(ISNUMBER(I802),I802&gt;0,ISNUMBER(J802)),J802/I802-1,"")</f>
        <v>0.08095238095238089</v>
      </c>
      <c r="L802" t="s">
        <v>38</v>
      </c>
      <c r="N802" s="1" t="s">
        <f>IF(AND(ISNUMBER(U802),U802&gt;0,ISNUMBER(J802)),ROUND(J802/U802,2),"")</f>
        <v>39</v>
      </c>
      <c r="Q802" t="s">
        <v>40</v>
      </c>
      <c r="R802" t="s">
        <v>39</v>
      </c>
      <c r="S802">
        <v>526849</v>
      </c>
      <c r="T802">
        <v>526849</v>
      </c>
      <c r="X802" t="s">
        <v>41</v>
      </c>
      <c r="Z802" s="1">
        <v>4.2</v>
      </c>
      <c r="AA802" s="1">
        <f>IF(AND(ISNUMBER(Z802),ISNUMBER(I802),I802&gt;0,ISNUMBER(J802)),ROUND(Z802*J802/I802,2),"")</f>
        <v>4.54</v>
      </c>
      <c r="AB802" t="s">
        <v>42</v>
      </c>
      <c r="AC802" t="s">
        <v>43</v>
      </c>
      <c r="AD802" t="s">
        <v>48</v>
      </c>
      <c r="AE802" t="s">
        <v>45</v>
      </c>
    </row>
    <row r="803">
      <c r="A803">
        <v>805918</v>
      </c>
      <c r="B803">
        <v>805918</v>
      </c>
      <c r="C803" t="s">
        <v>1195</v>
      </c>
      <c r="D803" t="s">
        <v>1175</v>
      </c>
      <c r="E803" t="s">
        <v>92</v>
      </c>
      <c r="F803" s="1">
        <v>1.5</v>
      </c>
      <c r="G803" s="2">
        <v>0.4</v>
      </c>
      <c r="H803" s="2">
        <v>0.512</v>
      </c>
      <c r="I803" s="1">
        <v>2.1</v>
      </c>
      <c r="J803" s="1">
        <f>IF(AND(ISNUMBER(F803),ISNUMBER(H803)),ROUND(F803*(1+H803),2),"")</f>
        <v>2.27</v>
      </c>
      <c r="K803" s="2">
        <f>IF(AND(ISNUMBER(I803),I803&gt;0,ISNUMBER(J803)),J803/I803-1,"")</f>
        <v>0.08095238095238089</v>
      </c>
      <c r="L803" t="s">
        <v>38</v>
      </c>
      <c r="M803" s="1">
        <v>2.1</v>
      </c>
      <c r="N803" s="1">
        <f>IF(AND(ISNUMBER(U803),U803&gt;0,ISNUMBER(J803)),ROUND(J803/U803,2),"")</f>
        <v>2.27</v>
      </c>
      <c r="Q803" t="s">
        <v>40</v>
      </c>
      <c r="R803" t="s">
        <v>39</v>
      </c>
      <c r="S803">
        <v>526979</v>
      </c>
      <c r="T803">
        <v>526979</v>
      </c>
      <c r="U803" s="3">
        <v>1</v>
      </c>
      <c r="X803" t="s">
        <v>41</v>
      </c>
      <c r="Z803" s="1">
        <v>2.1</v>
      </c>
      <c r="AA803" s="1">
        <f>IF(AND(ISNUMBER(Z803),ISNUMBER(I803),I803&gt;0,ISNUMBER(J803)),ROUND(Z803*J803/I803,2),"")</f>
        <v>2.27</v>
      </c>
      <c r="AB803" t="s">
        <v>42</v>
      </c>
      <c r="AC803" t="s">
        <v>43</v>
      </c>
      <c r="AD803" t="s">
        <v>44</v>
      </c>
      <c r="AE803" t="s">
        <v>45</v>
      </c>
    </row>
    <row r="804">
      <c r="A804">
        <v>1005221</v>
      </c>
      <c r="B804">
        <v>1005221</v>
      </c>
      <c r="C804" t="s">
        <v>1195</v>
      </c>
      <c r="D804" t="s">
        <v>1175</v>
      </c>
      <c r="E804" t="s">
        <v>92</v>
      </c>
      <c r="F804" s="1">
        <v>2</v>
      </c>
      <c r="G804" s="2">
        <v>0.4</v>
      </c>
      <c r="H804" s="2">
        <v>0.512</v>
      </c>
      <c r="I804" s="1">
        <v>2.8</v>
      </c>
      <c r="J804" s="1">
        <f>IF(AND(ISNUMBER(F804),ISNUMBER(H804)),ROUND(F804*(1+H804),2),"")</f>
        <v>3.02</v>
      </c>
      <c r="K804" s="2">
        <f>IF(AND(ISNUMBER(I804),I804&gt;0,ISNUMBER(J804)),J804/I804-1,"")</f>
        <v>0.07857142857142874</v>
      </c>
      <c r="L804" t="s">
        <v>38</v>
      </c>
      <c r="M804" s="1">
        <v>2.8</v>
      </c>
      <c r="N804" s="1">
        <f>IF(AND(ISNUMBER(U804),U804&gt;0,ISNUMBER(J804)),ROUND(J804/U804,2),"")</f>
        <v>3.02</v>
      </c>
      <c r="Q804" t="s">
        <v>40</v>
      </c>
      <c r="R804" t="s">
        <v>39</v>
      </c>
      <c r="S804">
        <v>785525</v>
      </c>
      <c r="T804">
        <v>785525</v>
      </c>
      <c r="U804" s="3">
        <v>1</v>
      </c>
      <c r="X804" t="s">
        <v>41</v>
      </c>
      <c r="Z804" s="1">
        <v>2.8</v>
      </c>
      <c r="AA804" s="1">
        <f>IF(AND(ISNUMBER(Z804),ISNUMBER(I804),I804&gt;0,ISNUMBER(J804)),ROUND(Z804*J804/I804,2),"")</f>
        <v>3.02</v>
      </c>
      <c r="AB804" t="s">
        <v>42</v>
      </c>
      <c r="AC804" t="s">
        <v>43</v>
      </c>
      <c r="AD804" t="s">
        <v>48</v>
      </c>
      <c r="AE804" t="s">
        <v>45</v>
      </c>
    </row>
    <row r="805">
      <c r="A805">
        <v>998896</v>
      </c>
      <c r="B805">
        <v>998896</v>
      </c>
      <c r="C805" t="s">
        <v>968</v>
      </c>
      <c r="D805" t="s">
        <v>1175</v>
      </c>
      <c r="E805" t="s">
        <v>770</v>
      </c>
      <c r="F805" s="1">
        <v>4</v>
      </c>
      <c r="G805" s="2">
        <v>0.4</v>
      </c>
      <c r="H805" s="2">
        <v>0.512</v>
      </c>
      <c r="I805" s="1">
        <v>5.6</v>
      </c>
      <c r="J805" s="1">
        <f>IF(AND(ISNUMBER(F805),ISNUMBER(H805)),ROUND(F805*(1+H805),2),"")</f>
        <v>6.05</v>
      </c>
      <c r="K805" s="2">
        <f>IF(AND(ISNUMBER(I805),I805&gt;0,ISNUMBER(J805)),J805/I805-1,"")</f>
        <v>0.0803571428571428</v>
      </c>
      <c r="L805" t="s">
        <v>38</v>
      </c>
      <c r="N805" s="1" t="s">
        <f>IF(AND(ISNUMBER(U805),U805&gt;0,ISNUMBER(J805)),ROUND(J805/U805,2),"")</f>
        <v>39</v>
      </c>
      <c r="Q805" t="s">
        <v>40</v>
      </c>
      <c r="R805" t="s">
        <v>39</v>
      </c>
      <c r="S805">
        <v>775170</v>
      </c>
      <c r="T805">
        <v>775170</v>
      </c>
      <c r="X805" t="s">
        <v>41</v>
      </c>
      <c r="Z805" s="1">
        <v>5.6</v>
      </c>
      <c r="AA805" s="1">
        <f>IF(AND(ISNUMBER(Z805),ISNUMBER(I805),I805&gt;0,ISNUMBER(J805)),ROUND(Z805*J805/I805,2),"")</f>
        <v>6.05</v>
      </c>
      <c r="AB805" t="s">
        <v>42</v>
      </c>
      <c r="AC805" t="s">
        <v>43</v>
      </c>
      <c r="AD805" t="s">
        <v>48</v>
      </c>
      <c r="AE805" t="s">
        <v>45</v>
      </c>
    </row>
    <row r="806">
      <c r="A806">
        <v>999637</v>
      </c>
      <c r="B806">
        <v>999637</v>
      </c>
      <c r="C806" t="s">
        <v>968</v>
      </c>
      <c r="D806" t="s">
        <v>1175</v>
      </c>
      <c r="E806" t="s">
        <v>770</v>
      </c>
      <c r="F806" s="1">
        <v>3</v>
      </c>
      <c r="G806" s="2">
        <v>0.4</v>
      </c>
      <c r="H806" s="2">
        <v>0.512</v>
      </c>
      <c r="I806" s="1">
        <v>4.2</v>
      </c>
      <c r="J806" s="1">
        <f>IF(AND(ISNUMBER(F806),ISNUMBER(H806)),ROUND(F806*(1+H806),2),"")</f>
        <v>4.54</v>
      </c>
      <c r="K806" s="2">
        <f>IF(AND(ISNUMBER(I806),I806&gt;0,ISNUMBER(J806)),J806/I806-1,"")</f>
        <v>0.08095238095238089</v>
      </c>
      <c r="L806" t="s">
        <v>38</v>
      </c>
      <c r="N806" s="1" t="s">
        <f>IF(AND(ISNUMBER(U806),U806&gt;0,ISNUMBER(J806)),ROUND(J806/U806,2),"")</f>
        <v>39</v>
      </c>
      <c r="Q806" t="s">
        <v>40</v>
      </c>
      <c r="R806" t="s">
        <v>39</v>
      </c>
      <c r="S806">
        <v>776515</v>
      </c>
      <c r="T806">
        <v>776515</v>
      </c>
      <c r="X806" t="s">
        <v>41</v>
      </c>
      <c r="Z806" s="1">
        <v>4.2</v>
      </c>
      <c r="AA806" s="1">
        <f>IF(AND(ISNUMBER(Z806),ISNUMBER(I806),I806&gt;0,ISNUMBER(J806)),ROUND(Z806*J806/I806,2),"")</f>
        <v>4.54</v>
      </c>
      <c r="AB806" t="s">
        <v>42</v>
      </c>
      <c r="AC806" t="s">
        <v>43</v>
      </c>
      <c r="AD806" t="s">
        <v>48</v>
      </c>
      <c r="AE806" t="s">
        <v>45</v>
      </c>
    </row>
    <row r="807">
      <c r="A807">
        <v>897016</v>
      </c>
      <c r="B807">
        <v>897016</v>
      </c>
      <c r="C807" t="s">
        <v>1196</v>
      </c>
      <c r="D807" t="s">
        <v>1175</v>
      </c>
      <c r="E807" t="s">
        <v>1197</v>
      </c>
      <c r="F807" s="1">
        <v>3.5</v>
      </c>
      <c r="G807" s="2">
        <v>0.4</v>
      </c>
      <c r="H807" s="2">
        <v>0.512</v>
      </c>
      <c r="I807" s="1">
        <v>4.9</v>
      </c>
      <c r="J807" s="1">
        <f>IF(AND(ISNUMBER(F807),ISNUMBER(H807)),ROUND(F807*(1+H807),2),"")</f>
        <v>5.29</v>
      </c>
      <c r="K807" s="2">
        <f>IF(AND(ISNUMBER(I807),I807&gt;0,ISNUMBER(J807)),J807/I807-1,"")</f>
        <v>0.07959183673469372</v>
      </c>
      <c r="L807" t="s">
        <v>38</v>
      </c>
      <c r="N807" s="1" t="s">
        <f>IF(AND(ISNUMBER(U807),U807&gt;0,ISNUMBER(J807)),ROUND(J807/U807,2),"")</f>
        <v>39</v>
      </c>
      <c r="Q807" t="s">
        <v>40</v>
      </c>
      <c r="R807" t="s">
        <v>39</v>
      </c>
      <c r="S807">
        <v>638086</v>
      </c>
      <c r="T807">
        <v>638086</v>
      </c>
      <c r="X807" t="s">
        <v>41</v>
      </c>
      <c r="Z807" s="1">
        <v>4.9</v>
      </c>
      <c r="AA807" s="1">
        <f>IF(AND(ISNUMBER(Z807),ISNUMBER(I807),I807&gt;0,ISNUMBER(J807)),ROUND(Z807*J807/I807,2),"")</f>
        <v>5.29</v>
      </c>
      <c r="AB807" t="s">
        <v>42</v>
      </c>
      <c r="AC807" t="s">
        <v>43</v>
      </c>
      <c r="AD807" t="s">
        <v>48</v>
      </c>
      <c r="AE807" t="s">
        <v>45</v>
      </c>
    </row>
    <row r="808">
      <c r="A808">
        <v>805832</v>
      </c>
      <c r="B808">
        <v>805832</v>
      </c>
      <c r="C808" t="s">
        <v>835</v>
      </c>
      <c r="D808" t="s">
        <v>1175</v>
      </c>
      <c r="E808" t="s">
        <v>96</v>
      </c>
      <c r="F808" s="1">
        <v>4</v>
      </c>
      <c r="G808" s="2">
        <v>0.4</v>
      </c>
      <c r="H808" s="2">
        <v>0.512</v>
      </c>
      <c r="I808" s="1">
        <v>5.6</v>
      </c>
      <c r="J808" s="1">
        <f>IF(AND(ISNUMBER(F808),ISNUMBER(H808)),ROUND(F808*(1+H808),2),"")</f>
        <v>6.05</v>
      </c>
      <c r="K808" s="2">
        <f>IF(AND(ISNUMBER(I808),I808&gt;0,ISNUMBER(J808)),J808/I808-1,"")</f>
        <v>0.0803571428571428</v>
      </c>
      <c r="L808" t="s">
        <v>38</v>
      </c>
      <c r="N808" s="1" t="s">
        <f>IF(AND(ISNUMBER(U808),U808&gt;0,ISNUMBER(J808)),ROUND(J808/U808,2),"")</f>
        <v>39</v>
      </c>
      <c r="Q808" t="s">
        <v>40</v>
      </c>
      <c r="R808" t="s">
        <v>39</v>
      </c>
      <c r="S808">
        <v>526889</v>
      </c>
      <c r="T808">
        <v>526889</v>
      </c>
      <c r="X808" t="s">
        <v>41</v>
      </c>
      <c r="Z808" s="1">
        <v>5.6</v>
      </c>
      <c r="AA808" s="1">
        <f>IF(AND(ISNUMBER(Z808),ISNUMBER(I808),I808&gt;0,ISNUMBER(J808)),ROUND(Z808*J808/I808,2),"")</f>
        <v>6.05</v>
      </c>
      <c r="AB808" t="s">
        <v>42</v>
      </c>
      <c r="AC808" t="s">
        <v>43</v>
      </c>
      <c r="AD808" t="s">
        <v>48</v>
      </c>
      <c r="AE808" t="s">
        <v>45</v>
      </c>
    </row>
    <row r="809">
      <c r="A809">
        <v>899381</v>
      </c>
      <c r="B809">
        <v>899381</v>
      </c>
      <c r="C809" t="s">
        <v>975</v>
      </c>
      <c r="D809" t="s">
        <v>1175</v>
      </c>
      <c r="E809" t="s">
        <v>63</v>
      </c>
      <c r="F809" s="1">
        <v>1.25</v>
      </c>
      <c r="G809" s="2">
        <v>0.4</v>
      </c>
      <c r="H809" s="2">
        <v>0.512</v>
      </c>
      <c r="I809" s="1">
        <v>1.75</v>
      </c>
      <c r="J809" s="1">
        <f>IF(AND(ISNUMBER(F809),ISNUMBER(H809)),ROUND(F809*(1+H809),2),"")</f>
        <v>1.89</v>
      </c>
      <c r="K809" s="2">
        <f>IF(AND(ISNUMBER(I809),I809&gt;0,ISNUMBER(J809)),J809/I809-1,"")</f>
        <v>0.07999999999999985</v>
      </c>
      <c r="L809" t="s">
        <v>38</v>
      </c>
      <c r="N809" s="1" t="s">
        <f>IF(AND(ISNUMBER(U809),U809&gt;0,ISNUMBER(J809)),ROUND(J809/U809,2),"")</f>
        <v>39</v>
      </c>
      <c r="Q809" t="s">
        <v>40</v>
      </c>
      <c r="R809" t="s">
        <v>39</v>
      </c>
      <c r="S809">
        <v>641228</v>
      </c>
      <c r="T809">
        <v>641228</v>
      </c>
      <c r="X809" t="s">
        <v>41</v>
      </c>
      <c r="Z809" s="1">
        <v>1.75</v>
      </c>
      <c r="AA809" s="1">
        <f>IF(AND(ISNUMBER(Z809),ISNUMBER(I809),I809&gt;0,ISNUMBER(J809)),ROUND(Z809*J809/I809,2),"")</f>
        <v>1.89</v>
      </c>
      <c r="AB809" t="s">
        <v>42</v>
      </c>
      <c r="AC809" t="s">
        <v>43</v>
      </c>
      <c r="AD809" t="s">
        <v>48</v>
      </c>
      <c r="AE809" t="s">
        <v>45</v>
      </c>
    </row>
    <row r="810">
      <c r="A810">
        <v>805967</v>
      </c>
      <c r="B810">
        <v>805967</v>
      </c>
      <c r="C810" t="s">
        <v>1198</v>
      </c>
      <c r="D810" t="s">
        <v>1175</v>
      </c>
      <c r="E810" t="s">
        <v>96</v>
      </c>
      <c r="F810" s="1">
        <v>1</v>
      </c>
      <c r="G810" s="2">
        <v>0.4</v>
      </c>
      <c r="H810" s="2">
        <v>0.512</v>
      </c>
      <c r="I810" s="1">
        <v>1.4</v>
      </c>
      <c r="J810" s="1">
        <f>IF(AND(ISNUMBER(F810),ISNUMBER(H810)),ROUND(F810*(1+H810),2),"")</f>
        <v>1.51</v>
      </c>
      <c r="K810" s="2">
        <f>IF(AND(ISNUMBER(I810),I810&gt;0,ISNUMBER(J810)),J810/I810-1,"")</f>
        <v>0.07857142857142874</v>
      </c>
      <c r="L810" t="s">
        <v>38</v>
      </c>
      <c r="N810" s="1" t="s">
        <f>IF(AND(ISNUMBER(U810),U810&gt;0,ISNUMBER(J810)),ROUND(J810/U810,2),"")</f>
        <v>39</v>
      </c>
      <c r="Q810" t="s">
        <v>40</v>
      </c>
      <c r="R810" t="s">
        <v>39</v>
      </c>
      <c r="S810">
        <v>527027</v>
      </c>
      <c r="T810">
        <v>527027</v>
      </c>
      <c r="X810" t="s">
        <v>41</v>
      </c>
      <c r="Z810" s="1">
        <v>1.4</v>
      </c>
      <c r="AA810" s="1">
        <f>IF(AND(ISNUMBER(Z810),ISNUMBER(I810),I810&gt;0,ISNUMBER(J810)),ROUND(Z810*J810/I810,2),"")</f>
        <v>1.51</v>
      </c>
      <c r="AB810" t="s">
        <v>42</v>
      </c>
      <c r="AC810" t="s">
        <v>43</v>
      </c>
      <c r="AD810" t="s">
        <v>48</v>
      </c>
      <c r="AE810" t="s">
        <v>45</v>
      </c>
    </row>
    <row r="811">
      <c r="A811">
        <v>1042571</v>
      </c>
      <c r="B811">
        <v>1042571</v>
      </c>
      <c r="C811" t="s">
        <v>1199</v>
      </c>
      <c r="D811" t="s">
        <v>1175</v>
      </c>
      <c r="E811" t="s">
        <v>532</v>
      </c>
      <c r="F811" s="1">
        <v>4</v>
      </c>
      <c r="G811" s="2">
        <v>0.4</v>
      </c>
      <c r="H811" s="2">
        <v>0.512</v>
      </c>
      <c r="I811" s="1">
        <v>5.6</v>
      </c>
      <c r="J811" s="1">
        <f>IF(AND(ISNUMBER(F811),ISNUMBER(H811)),ROUND(F811*(1+H811),2),"")</f>
        <v>6.05</v>
      </c>
      <c r="K811" s="2">
        <f>IF(AND(ISNUMBER(I811),I811&gt;0,ISNUMBER(J811)),J811/I811-1,"")</f>
        <v>0.0803571428571428</v>
      </c>
      <c r="L811" t="s">
        <v>38</v>
      </c>
      <c r="M811" s="1">
        <v>2.8</v>
      </c>
      <c r="N811" s="1">
        <f>IF(AND(ISNUMBER(U811),U811&gt;0,ISNUMBER(J811)),ROUND(J811/U811,2),"")</f>
        <v>3.02</v>
      </c>
      <c r="Q811" t="s">
        <v>40</v>
      </c>
      <c r="R811" t="s">
        <v>39</v>
      </c>
      <c r="S811">
        <v>844557</v>
      </c>
      <c r="T811">
        <v>844557</v>
      </c>
      <c r="U811" s="3">
        <v>2</v>
      </c>
      <c r="X811" t="s">
        <v>41</v>
      </c>
      <c r="Z811" s="1">
        <v>5.6</v>
      </c>
      <c r="AA811" s="1">
        <f>IF(AND(ISNUMBER(Z811),ISNUMBER(I811),I811&gt;0,ISNUMBER(J811)),ROUND(Z811*J811/I811,2),"")</f>
        <v>6.05</v>
      </c>
      <c r="AB811" t="s">
        <v>42</v>
      </c>
      <c r="AC811" t="s">
        <v>43</v>
      </c>
      <c r="AD811" t="s">
        <v>48</v>
      </c>
      <c r="AE811" t="s">
        <v>45</v>
      </c>
    </row>
    <row r="812">
      <c r="A812">
        <v>929322</v>
      </c>
      <c r="B812">
        <v>929322</v>
      </c>
      <c r="C812" t="s">
        <v>683</v>
      </c>
      <c r="D812" t="s">
        <v>1175</v>
      </c>
      <c r="E812" t="s">
        <v>684</v>
      </c>
      <c r="F812" s="1">
        <v>4</v>
      </c>
      <c r="G812" s="2">
        <v>0.4</v>
      </c>
      <c r="H812" s="2">
        <v>0.512</v>
      </c>
      <c r="I812" s="1">
        <v>5.6</v>
      </c>
      <c r="J812" s="1">
        <f>IF(AND(ISNUMBER(F812),ISNUMBER(H812)),ROUND(F812*(1+H812),2),"")</f>
        <v>6.05</v>
      </c>
      <c r="K812" s="2">
        <f>IF(AND(ISNUMBER(I812),I812&gt;0,ISNUMBER(J812)),J812/I812-1,"")</f>
        <v>0.0803571428571428</v>
      </c>
      <c r="L812" t="s">
        <v>38</v>
      </c>
      <c r="N812" s="1" t="s">
        <f>IF(AND(ISNUMBER(U812),U812&gt;0,ISNUMBER(J812)),ROUND(J812/U812,2),"")</f>
        <v>39</v>
      </c>
      <c r="Q812" t="s">
        <v>40</v>
      </c>
      <c r="R812" t="s">
        <v>39</v>
      </c>
      <c r="S812">
        <v>677788</v>
      </c>
      <c r="T812">
        <v>677788</v>
      </c>
      <c r="X812" t="s">
        <v>41</v>
      </c>
      <c r="Z812" s="1">
        <v>5.6</v>
      </c>
      <c r="AA812" s="1">
        <f>IF(AND(ISNUMBER(Z812),ISNUMBER(I812),I812&gt;0,ISNUMBER(J812)),ROUND(Z812*J812/I812,2),"")</f>
        <v>6.05</v>
      </c>
      <c r="AB812" t="s">
        <v>42</v>
      </c>
      <c r="AC812" t="s">
        <v>43</v>
      </c>
      <c r="AD812" t="s">
        <v>48</v>
      </c>
      <c r="AE812" t="s">
        <v>45</v>
      </c>
    </row>
    <row r="813">
      <c r="A813">
        <v>1082291</v>
      </c>
      <c r="B813">
        <v>1082291</v>
      </c>
      <c r="C813" t="s">
        <v>1200</v>
      </c>
      <c r="D813" t="s">
        <v>1175</v>
      </c>
      <c r="E813" t="s">
        <v>153</v>
      </c>
      <c r="F813" s="1">
        <v>4</v>
      </c>
      <c r="G813" s="2">
        <v>0.4</v>
      </c>
      <c r="H813" s="2">
        <v>0.512</v>
      </c>
      <c r="I813" s="1">
        <v>5.6</v>
      </c>
      <c r="J813" s="1">
        <f>IF(AND(ISNUMBER(F813),ISNUMBER(H813)),ROUND(F813*(1+H813),2),"")</f>
        <v>6.05</v>
      </c>
      <c r="K813" s="2">
        <f>IF(AND(ISNUMBER(I813),I813&gt;0,ISNUMBER(J813)),J813/I813-1,"")</f>
        <v>0.0803571428571428</v>
      </c>
      <c r="L813" t="s">
        <v>38</v>
      </c>
      <c r="M813" s="1">
        <v>11.2</v>
      </c>
      <c r="N813" s="1">
        <f>IF(AND(ISNUMBER(U813),U813&gt;0,ISNUMBER(J813)),ROUND(J813/U813,2),"")</f>
        <v>12.1</v>
      </c>
      <c r="Q813" t="s">
        <v>40</v>
      </c>
      <c r="R813" t="s">
        <v>39</v>
      </c>
      <c r="S813">
        <v>894785</v>
      </c>
      <c r="T813">
        <v>894785</v>
      </c>
      <c r="U813" s="3">
        <v>0.5</v>
      </c>
      <c r="X813" t="s">
        <v>41</v>
      </c>
      <c r="Z813" s="1">
        <v>5.6</v>
      </c>
      <c r="AA813" s="1">
        <f>IF(AND(ISNUMBER(Z813),ISNUMBER(I813),I813&gt;0,ISNUMBER(J813)),ROUND(Z813*J813/I813,2),"")</f>
        <v>6.05</v>
      </c>
      <c r="AB813" t="s">
        <v>42</v>
      </c>
      <c r="AC813" t="s">
        <v>43</v>
      </c>
      <c r="AD813" t="s">
        <v>48</v>
      </c>
      <c r="AE813" t="s">
        <v>45</v>
      </c>
    </row>
    <row r="814">
      <c r="A814">
        <v>1018192</v>
      </c>
      <c r="B814">
        <v>1018192</v>
      </c>
      <c r="C814" t="s">
        <v>1201</v>
      </c>
      <c r="D814" t="s">
        <v>1175</v>
      </c>
      <c r="E814" t="s">
        <v>832</v>
      </c>
      <c r="F814" s="1">
        <v>1.5</v>
      </c>
      <c r="G814" s="2">
        <v>0.4</v>
      </c>
      <c r="H814" s="2">
        <v>0.512</v>
      </c>
      <c r="I814" s="1">
        <v>2.1</v>
      </c>
      <c r="J814" s="1">
        <f>IF(AND(ISNUMBER(F814),ISNUMBER(H814)),ROUND(F814*(1+H814),2),"")</f>
        <v>2.27</v>
      </c>
      <c r="K814" s="2">
        <f>IF(AND(ISNUMBER(I814),I814&gt;0,ISNUMBER(J814)),J814/I814-1,"")</f>
        <v>0.08095238095238089</v>
      </c>
      <c r="L814" t="s">
        <v>38</v>
      </c>
      <c r="M814" s="1">
        <v>2.1</v>
      </c>
      <c r="N814" s="1">
        <f>IF(AND(ISNUMBER(U814),U814&gt;0,ISNUMBER(J814)),ROUND(J814/U814,2),"")</f>
        <v>2.27</v>
      </c>
      <c r="Q814" t="s">
        <v>40</v>
      </c>
      <c r="R814" t="s">
        <v>39</v>
      </c>
      <c r="S814">
        <v>803748</v>
      </c>
      <c r="T814">
        <v>803748</v>
      </c>
      <c r="U814" s="3">
        <v>1</v>
      </c>
      <c r="X814" t="s">
        <v>41</v>
      </c>
      <c r="Z814" s="1">
        <v>2.1</v>
      </c>
      <c r="AA814" s="1">
        <f>IF(AND(ISNUMBER(Z814),ISNUMBER(I814),I814&gt;0,ISNUMBER(J814)),ROUND(Z814*J814/I814,2),"")</f>
        <v>2.27</v>
      </c>
      <c r="AB814" t="s">
        <v>42</v>
      </c>
      <c r="AC814" t="s">
        <v>43</v>
      </c>
      <c r="AD814" t="s">
        <v>44</v>
      </c>
      <c r="AE814" t="s">
        <v>45</v>
      </c>
    </row>
    <row r="815">
      <c r="A815">
        <v>806076</v>
      </c>
      <c r="B815">
        <v>806076</v>
      </c>
      <c r="C815" t="s">
        <v>1202</v>
      </c>
      <c r="D815" t="s">
        <v>1203</v>
      </c>
      <c r="E815" t="s">
        <v>1204</v>
      </c>
      <c r="F815" s="1">
        <v>5.62</v>
      </c>
      <c r="G815" s="2">
        <v>0.4</v>
      </c>
      <c r="H815" s="2">
        <v>0.512</v>
      </c>
      <c r="I815" s="1">
        <v>7.87</v>
      </c>
      <c r="J815" s="1">
        <f>IF(AND(ISNUMBER(F815),ISNUMBER(H815)),ROUND(F815*(1+H815),2),"")</f>
        <v>8.5</v>
      </c>
      <c r="K815" s="2">
        <f>IF(AND(ISNUMBER(I815),I815&gt;0,ISNUMBER(J815)),J815/I815-1,"")</f>
        <v>0.08005082592121981</v>
      </c>
      <c r="L815" t="s">
        <v>38</v>
      </c>
      <c r="M815" s="1">
        <v>12.59</v>
      </c>
      <c r="N815" s="1">
        <f>IF(AND(ISNUMBER(U815),U815&gt;0,ISNUMBER(J815)),ROUND(J815/U815,2),"")</f>
        <v>13.6</v>
      </c>
      <c r="Q815" t="s">
        <v>40</v>
      </c>
      <c r="R815" t="s">
        <v>39</v>
      </c>
      <c r="S815">
        <v>527140</v>
      </c>
      <c r="T815">
        <v>527140</v>
      </c>
      <c r="U815" s="3">
        <v>0.625</v>
      </c>
      <c r="X815" t="s">
        <v>41</v>
      </c>
      <c r="Z815" s="1">
        <v>7.87</v>
      </c>
      <c r="AA815" s="1">
        <f>IF(AND(ISNUMBER(Z815),ISNUMBER(I815),I815&gt;0,ISNUMBER(J815)),ROUND(Z815*J815/I815,2),"")</f>
        <v>8.5</v>
      </c>
      <c r="AB815" t="s">
        <v>42</v>
      </c>
      <c r="AC815" t="s">
        <v>43</v>
      </c>
      <c r="AD815" t="s">
        <v>44</v>
      </c>
      <c r="AE815" t="s">
        <v>45</v>
      </c>
    </row>
    <row r="816">
      <c r="A816">
        <v>806148</v>
      </c>
      <c r="B816">
        <v>806148</v>
      </c>
      <c r="C816" t="s">
        <v>1205</v>
      </c>
      <c r="D816" t="s">
        <v>1203</v>
      </c>
      <c r="E816" t="s">
        <v>76</v>
      </c>
      <c r="F816" s="1">
        <v>5.27</v>
      </c>
      <c r="G816" s="2">
        <v>0.4</v>
      </c>
      <c r="H816" s="2">
        <v>0.512</v>
      </c>
      <c r="I816" s="1">
        <v>7.38</v>
      </c>
      <c r="J816" s="1">
        <f>IF(AND(ISNUMBER(F816),ISNUMBER(H816)),ROUND(F816*(1+H816),2),"")</f>
        <v>7.97</v>
      </c>
      <c r="K816" s="2">
        <f>IF(AND(ISNUMBER(I816),I816&gt;0,ISNUMBER(J816)),J816/I816-1,"")</f>
        <v>0.07994579945799463</v>
      </c>
      <c r="L816" t="s">
        <v>38</v>
      </c>
      <c r="N816" s="1" t="s">
        <f>IF(AND(ISNUMBER(U816),U816&gt;0,ISNUMBER(J816)),ROUND(J816/U816,2),"")</f>
        <v>39</v>
      </c>
      <c r="Q816" t="s">
        <v>40</v>
      </c>
      <c r="R816" t="s">
        <v>39</v>
      </c>
      <c r="S816">
        <v>527213</v>
      </c>
      <c r="T816">
        <v>527213</v>
      </c>
      <c r="X816" t="s">
        <v>41</v>
      </c>
      <c r="Z816" s="1">
        <v>7.38</v>
      </c>
      <c r="AA816" s="1">
        <f>IF(AND(ISNUMBER(Z816),ISNUMBER(I816),I816&gt;0,ISNUMBER(J816)),ROUND(Z816*J816/I816,2),"")</f>
        <v>7.97</v>
      </c>
      <c r="AB816" t="s">
        <v>42</v>
      </c>
      <c r="AC816" t="s">
        <v>43</v>
      </c>
      <c r="AD816" t="s">
        <v>48</v>
      </c>
      <c r="AE816" t="s">
        <v>45</v>
      </c>
    </row>
    <row r="817">
      <c r="A817">
        <v>806081</v>
      </c>
      <c r="B817">
        <v>806081</v>
      </c>
      <c r="C817" t="s">
        <v>1206</v>
      </c>
      <c r="D817" t="s">
        <v>1203</v>
      </c>
      <c r="E817" t="s">
        <v>1204</v>
      </c>
      <c r="F817" s="1">
        <v>4.48</v>
      </c>
      <c r="G817" s="2">
        <v>0.4</v>
      </c>
      <c r="H817" s="2">
        <v>0.512</v>
      </c>
      <c r="I817" s="1">
        <v>6.27</v>
      </c>
      <c r="J817" s="1">
        <f>IF(AND(ISNUMBER(F817),ISNUMBER(H817)),ROUND(F817*(1+H817),2),"")</f>
        <v>6.77</v>
      </c>
      <c r="K817" s="2">
        <f>IF(AND(ISNUMBER(I817),I817&gt;0,ISNUMBER(J817)),J817/I817-1,"")</f>
        <v>0.0797448165869219</v>
      </c>
      <c r="L817" t="s">
        <v>38</v>
      </c>
      <c r="M817" s="1">
        <v>10.03</v>
      </c>
      <c r="N817" s="1">
        <f>IF(AND(ISNUMBER(U817),U817&gt;0,ISNUMBER(J817)),ROUND(J817/U817,2),"")</f>
        <v>10.83</v>
      </c>
      <c r="Q817" t="s">
        <v>40</v>
      </c>
      <c r="R817" t="s">
        <v>39</v>
      </c>
      <c r="S817">
        <v>527145</v>
      </c>
      <c r="T817">
        <v>527145</v>
      </c>
      <c r="U817" s="3">
        <v>0.625</v>
      </c>
      <c r="X817" t="s">
        <v>41</v>
      </c>
      <c r="Z817" s="1">
        <v>6.27</v>
      </c>
      <c r="AA817" s="1">
        <f>IF(AND(ISNUMBER(Z817),ISNUMBER(I817),I817&gt;0,ISNUMBER(J817)),ROUND(Z817*J817/I817,2),"")</f>
        <v>6.77</v>
      </c>
      <c r="AB817" t="s">
        <v>42</v>
      </c>
      <c r="AC817" t="s">
        <v>43</v>
      </c>
      <c r="AD817" t="s">
        <v>44</v>
      </c>
      <c r="AE817" t="s">
        <v>45</v>
      </c>
    </row>
    <row r="818">
      <c r="A818">
        <v>806085</v>
      </c>
      <c r="B818">
        <v>806085</v>
      </c>
      <c r="C818" t="s">
        <v>1207</v>
      </c>
      <c r="D818" t="s">
        <v>1203</v>
      </c>
      <c r="E818" t="s">
        <v>96</v>
      </c>
      <c r="F818" s="1">
        <v>6.4</v>
      </c>
      <c r="G818" s="2">
        <v>0.4</v>
      </c>
      <c r="H818" s="2">
        <v>0.512</v>
      </c>
      <c r="I818" s="1">
        <v>8.96</v>
      </c>
      <c r="J818" s="1">
        <f>IF(AND(ISNUMBER(F818),ISNUMBER(H818)),ROUND(F818*(1+H818),2),"")</f>
        <v>9.68</v>
      </c>
      <c r="K818" s="2">
        <f>IF(AND(ISNUMBER(I818),I818&gt;0,ISNUMBER(J818)),J818/I818-1,"")</f>
        <v>0.0803571428571428</v>
      </c>
      <c r="L818" t="s">
        <v>38</v>
      </c>
      <c r="N818" s="1" t="s">
        <f>IF(AND(ISNUMBER(U818),U818&gt;0,ISNUMBER(J818)),ROUND(J818/U818,2),"")</f>
        <v>39</v>
      </c>
      <c r="Q818" t="s">
        <v>40</v>
      </c>
      <c r="R818" t="s">
        <v>39</v>
      </c>
      <c r="S818">
        <v>527149</v>
      </c>
      <c r="T818">
        <v>527149</v>
      </c>
      <c r="X818" t="s">
        <v>41</v>
      </c>
      <c r="Z818" s="1">
        <v>8.96</v>
      </c>
      <c r="AA818" s="1">
        <f>IF(AND(ISNUMBER(Z818),ISNUMBER(I818),I818&gt;0,ISNUMBER(J818)),ROUND(Z818*J818/I818,2),"")</f>
        <v>9.68</v>
      </c>
      <c r="AB818" t="s">
        <v>42</v>
      </c>
      <c r="AC818" t="s">
        <v>43</v>
      </c>
      <c r="AD818" t="s">
        <v>44</v>
      </c>
      <c r="AE818" t="s">
        <v>45</v>
      </c>
    </row>
    <row r="819">
      <c r="A819">
        <v>806089</v>
      </c>
      <c r="B819">
        <v>806089</v>
      </c>
      <c r="C819" t="s">
        <v>1208</v>
      </c>
      <c r="D819" t="s">
        <v>1203</v>
      </c>
      <c r="E819" t="s">
        <v>1204</v>
      </c>
      <c r="F819" s="1">
        <v>4.48</v>
      </c>
      <c r="G819" s="2">
        <v>0.4</v>
      </c>
      <c r="H819" s="2">
        <v>0.512</v>
      </c>
      <c r="I819" s="1">
        <v>6.27</v>
      </c>
      <c r="J819" s="1">
        <f>IF(AND(ISNUMBER(F819),ISNUMBER(H819)),ROUND(F819*(1+H819),2),"")</f>
        <v>6.77</v>
      </c>
      <c r="K819" s="2">
        <f>IF(AND(ISNUMBER(I819),I819&gt;0,ISNUMBER(J819)),J819/I819-1,"")</f>
        <v>0.0797448165869219</v>
      </c>
      <c r="L819" t="s">
        <v>38</v>
      </c>
      <c r="M819" s="1">
        <v>10.03</v>
      </c>
      <c r="N819" s="1">
        <f>IF(AND(ISNUMBER(U819),U819&gt;0,ISNUMBER(J819)),ROUND(J819/U819,2),"")</f>
        <v>10.83</v>
      </c>
      <c r="Q819" t="s">
        <v>40</v>
      </c>
      <c r="R819" t="s">
        <v>39</v>
      </c>
      <c r="S819">
        <v>527153</v>
      </c>
      <c r="T819">
        <v>527153</v>
      </c>
      <c r="U819" s="3">
        <v>0.625</v>
      </c>
      <c r="X819" t="s">
        <v>41</v>
      </c>
      <c r="Z819" s="1">
        <v>6.27</v>
      </c>
      <c r="AA819" s="1">
        <f>IF(AND(ISNUMBER(Z819),ISNUMBER(I819),I819&gt;0,ISNUMBER(J819)),ROUND(Z819*J819/I819,2),"")</f>
        <v>6.77</v>
      </c>
      <c r="AB819" t="s">
        <v>42</v>
      </c>
      <c r="AC819" t="s">
        <v>43</v>
      </c>
      <c r="AD819" t="s">
        <v>44</v>
      </c>
      <c r="AE819" t="s">
        <v>45</v>
      </c>
    </row>
    <row r="820">
      <c r="A820">
        <v>1061158</v>
      </c>
      <c r="B820">
        <v>1061158</v>
      </c>
      <c r="C820" t="s">
        <v>1209</v>
      </c>
      <c r="D820" t="s">
        <v>1203</v>
      </c>
      <c r="E820" t="s">
        <v>1210</v>
      </c>
      <c r="F820" s="1">
        <v>5.46</v>
      </c>
      <c r="G820" s="2">
        <v>0.4</v>
      </c>
      <c r="H820" s="2">
        <v>0.512</v>
      </c>
      <c r="I820" s="1">
        <v>7.64</v>
      </c>
      <c r="J820" s="1">
        <f>IF(AND(ISNUMBER(F820),ISNUMBER(H820)),ROUND(F820*(1+H820),2),"")</f>
        <v>8.26</v>
      </c>
      <c r="K820" s="2">
        <f>IF(AND(ISNUMBER(I820),I820&gt;0,ISNUMBER(J820)),J820/I820-1,"")</f>
        <v>0.08115183246073299</v>
      </c>
      <c r="L820" t="s">
        <v>38</v>
      </c>
      <c r="N820" s="1" t="s">
        <f>IF(AND(ISNUMBER(U820),U820&gt;0,ISNUMBER(J820)),ROUND(J820/U820,2),"")</f>
        <v>39</v>
      </c>
      <c r="Q820" t="s">
        <v>40</v>
      </c>
      <c r="R820" t="s">
        <v>39</v>
      </c>
      <c r="S820">
        <v>868144</v>
      </c>
      <c r="T820">
        <v>868144</v>
      </c>
      <c r="X820" t="s">
        <v>41</v>
      </c>
      <c r="Z820" s="1">
        <v>7.64</v>
      </c>
      <c r="AA820" s="1">
        <f>IF(AND(ISNUMBER(Z820),ISNUMBER(I820),I820&gt;0,ISNUMBER(J820)),ROUND(Z820*J820/I820,2),"")</f>
        <v>8.26</v>
      </c>
      <c r="AB820" t="s">
        <v>42</v>
      </c>
      <c r="AC820" t="s">
        <v>43</v>
      </c>
      <c r="AD820" t="s">
        <v>44</v>
      </c>
      <c r="AE820" t="s">
        <v>45</v>
      </c>
    </row>
    <row r="821">
      <c r="A821">
        <v>806092</v>
      </c>
      <c r="B821">
        <v>806092</v>
      </c>
      <c r="C821" t="s">
        <v>1211</v>
      </c>
      <c r="D821" t="s">
        <v>1203</v>
      </c>
      <c r="E821" t="s">
        <v>1212</v>
      </c>
      <c r="F821" s="1">
        <v>6.02</v>
      </c>
      <c r="G821" s="2">
        <v>0.4</v>
      </c>
      <c r="H821" s="2">
        <v>0.512</v>
      </c>
      <c r="I821" s="1">
        <v>8.43</v>
      </c>
      <c r="J821" s="1">
        <f>IF(AND(ISNUMBER(F821),ISNUMBER(H821)),ROUND(F821*(1+H821),2),"")</f>
        <v>9.1</v>
      </c>
      <c r="K821" s="2">
        <f>IF(AND(ISNUMBER(I821),I821&gt;0,ISNUMBER(J821)),J821/I821-1,"")</f>
        <v>0.07947805456702262</v>
      </c>
      <c r="L821" t="s">
        <v>38</v>
      </c>
      <c r="N821" s="1" t="s">
        <f>IF(AND(ISNUMBER(U821),U821&gt;0,ISNUMBER(J821)),ROUND(J821/U821,2),"")</f>
        <v>39</v>
      </c>
      <c r="Q821" t="s">
        <v>40</v>
      </c>
      <c r="R821" t="s">
        <v>39</v>
      </c>
      <c r="S821">
        <v>527156</v>
      </c>
      <c r="T821">
        <v>527156</v>
      </c>
      <c r="X821" t="s">
        <v>41</v>
      </c>
      <c r="Z821" s="1">
        <v>8.43</v>
      </c>
      <c r="AA821" s="1">
        <f>IF(AND(ISNUMBER(Z821),ISNUMBER(I821),I821&gt;0,ISNUMBER(J821)),ROUND(Z821*J821/I821,2),"")</f>
        <v>9.1</v>
      </c>
      <c r="AB821" t="s">
        <v>42</v>
      </c>
      <c r="AC821" t="s">
        <v>43</v>
      </c>
      <c r="AD821" t="s">
        <v>44</v>
      </c>
      <c r="AE821" t="s">
        <v>45</v>
      </c>
    </row>
    <row r="822">
      <c r="A822">
        <v>806095</v>
      </c>
      <c r="B822">
        <v>806095</v>
      </c>
      <c r="C822" t="s">
        <v>1213</v>
      </c>
      <c r="D822" t="s">
        <v>1203</v>
      </c>
      <c r="E822" t="s">
        <v>76</v>
      </c>
      <c r="F822" s="1">
        <v>5.54</v>
      </c>
      <c r="G822" s="2">
        <v>0.4</v>
      </c>
      <c r="H822" s="2">
        <v>0.512</v>
      </c>
      <c r="I822" s="1">
        <v>7.76</v>
      </c>
      <c r="J822" s="1">
        <f>IF(AND(ISNUMBER(F822),ISNUMBER(H822)),ROUND(F822*(1+H822),2),"")</f>
        <v>8.38</v>
      </c>
      <c r="K822" s="2">
        <f>IF(AND(ISNUMBER(I822),I822&gt;0,ISNUMBER(J822)),J822/I822-1,"")</f>
        <v>0.079896907216495</v>
      </c>
      <c r="L822" t="s">
        <v>38</v>
      </c>
      <c r="M822" s="1">
        <v>7.76</v>
      </c>
      <c r="N822" s="1">
        <f>IF(AND(ISNUMBER(U822),U822&gt;0,ISNUMBER(J822)),ROUND(J822/U822,2),"")</f>
        <v>8.38</v>
      </c>
      <c r="Q822" t="s">
        <v>40</v>
      </c>
      <c r="R822" t="s">
        <v>39</v>
      </c>
      <c r="S822">
        <v>527160</v>
      </c>
      <c r="T822">
        <v>527160</v>
      </c>
      <c r="U822" s="3">
        <v>1</v>
      </c>
      <c r="X822" t="s">
        <v>41</v>
      </c>
      <c r="Z822" s="1">
        <v>7.76</v>
      </c>
      <c r="AA822" s="1">
        <f>IF(AND(ISNUMBER(Z822),ISNUMBER(I822),I822&gt;0,ISNUMBER(J822)),ROUND(Z822*J822/I822,2),"")</f>
        <v>8.38</v>
      </c>
      <c r="AB822" t="s">
        <v>42</v>
      </c>
      <c r="AC822" t="s">
        <v>43</v>
      </c>
      <c r="AD822" t="s">
        <v>44</v>
      </c>
      <c r="AE822" t="s">
        <v>45</v>
      </c>
    </row>
    <row r="823">
      <c r="A823">
        <v>806099</v>
      </c>
      <c r="B823">
        <v>806099</v>
      </c>
      <c r="C823" t="s">
        <v>1214</v>
      </c>
      <c r="D823" t="s">
        <v>1203</v>
      </c>
      <c r="E823" t="s">
        <v>76</v>
      </c>
      <c r="F823" s="1">
        <v>4.92</v>
      </c>
      <c r="G823" s="2">
        <v>0.4</v>
      </c>
      <c r="H823" s="2">
        <v>0.512</v>
      </c>
      <c r="I823" s="1">
        <v>6.89</v>
      </c>
      <c r="J823" s="1">
        <f>IF(AND(ISNUMBER(F823),ISNUMBER(H823)),ROUND(F823*(1+H823),2),"")</f>
        <v>7.44</v>
      </c>
      <c r="K823" s="2">
        <f>IF(AND(ISNUMBER(I823),I823&gt;0,ISNUMBER(J823)),J823/I823-1,"")</f>
        <v>0.07982583454281578</v>
      </c>
      <c r="L823" t="s">
        <v>38</v>
      </c>
      <c r="N823" s="1" t="s">
        <f>IF(AND(ISNUMBER(U823),U823&gt;0,ISNUMBER(J823)),ROUND(J823/U823,2),"")</f>
        <v>39</v>
      </c>
      <c r="Q823" t="s">
        <v>40</v>
      </c>
      <c r="R823" t="s">
        <v>39</v>
      </c>
      <c r="S823">
        <v>527163</v>
      </c>
      <c r="T823">
        <v>527163</v>
      </c>
      <c r="X823" t="s">
        <v>41</v>
      </c>
      <c r="Z823" s="1">
        <v>6.89</v>
      </c>
      <c r="AA823" s="1">
        <f>IF(AND(ISNUMBER(Z823),ISNUMBER(I823),I823&gt;0,ISNUMBER(J823)),ROUND(Z823*J823/I823,2),"")</f>
        <v>7.44</v>
      </c>
      <c r="AB823" t="s">
        <v>42</v>
      </c>
      <c r="AC823" t="s">
        <v>43</v>
      </c>
      <c r="AD823" t="s">
        <v>44</v>
      </c>
      <c r="AE823" t="s">
        <v>45</v>
      </c>
    </row>
    <row r="824">
      <c r="A824">
        <v>806106</v>
      </c>
      <c r="B824">
        <v>806106</v>
      </c>
      <c r="C824" t="s">
        <v>1215</v>
      </c>
      <c r="D824" t="s">
        <v>1203</v>
      </c>
      <c r="E824" t="s">
        <v>96</v>
      </c>
      <c r="F824" s="1">
        <v>5.5</v>
      </c>
      <c r="G824" s="2">
        <v>0.4</v>
      </c>
      <c r="H824" s="2">
        <v>0.512</v>
      </c>
      <c r="I824" s="1">
        <v>7.7</v>
      </c>
      <c r="J824" s="1">
        <f>IF(AND(ISNUMBER(F824),ISNUMBER(H824)),ROUND(F824*(1+H824),2),"")</f>
        <v>8.32</v>
      </c>
      <c r="K824" s="2">
        <f>IF(AND(ISNUMBER(I824),I824&gt;0,ISNUMBER(J824)),J824/I824-1,"")</f>
        <v>0.08051948051948044</v>
      </c>
      <c r="L824" t="s">
        <v>38</v>
      </c>
      <c r="N824" s="1" t="s">
        <f>IF(AND(ISNUMBER(U824),U824&gt;0,ISNUMBER(J824)),ROUND(J824/U824,2),"")</f>
        <v>39</v>
      </c>
      <c r="Q824" t="s">
        <v>40</v>
      </c>
      <c r="R824" t="s">
        <v>39</v>
      </c>
      <c r="S824">
        <v>527170</v>
      </c>
      <c r="T824">
        <v>527170</v>
      </c>
      <c r="X824" t="s">
        <v>41</v>
      </c>
      <c r="Z824" s="1">
        <v>7.7</v>
      </c>
      <c r="AA824" s="1">
        <f>IF(AND(ISNUMBER(Z824),ISNUMBER(I824),I824&gt;0,ISNUMBER(J824)),ROUND(Z824*J824/I824,2),"")</f>
        <v>8.32</v>
      </c>
      <c r="AB824" t="s">
        <v>42</v>
      </c>
      <c r="AC824" t="s">
        <v>43</v>
      </c>
      <c r="AD824" t="s">
        <v>44</v>
      </c>
      <c r="AE824" t="s">
        <v>45</v>
      </c>
    </row>
    <row r="825">
      <c r="A825">
        <v>1061159</v>
      </c>
      <c r="B825">
        <v>1061159</v>
      </c>
      <c r="C825" t="s">
        <v>1216</v>
      </c>
      <c r="D825" t="s">
        <v>1203</v>
      </c>
      <c r="E825" t="s">
        <v>1210</v>
      </c>
      <c r="F825" s="1">
        <v>5.47</v>
      </c>
      <c r="G825" s="2">
        <v>0.4</v>
      </c>
      <c r="H825" s="2">
        <v>0.512</v>
      </c>
      <c r="I825" s="1">
        <v>7.66</v>
      </c>
      <c r="J825" s="1">
        <f>IF(AND(ISNUMBER(F825),ISNUMBER(H825)),ROUND(F825*(1+H825),2),"")</f>
        <v>8.27</v>
      </c>
      <c r="K825" s="2">
        <f>IF(AND(ISNUMBER(I825),I825&gt;0,ISNUMBER(J825)),J825/I825-1,"")</f>
        <v>0.07963446475195823</v>
      </c>
      <c r="L825" t="s">
        <v>38</v>
      </c>
      <c r="N825" s="1" t="s">
        <f>IF(AND(ISNUMBER(U825),U825&gt;0,ISNUMBER(J825)),ROUND(J825/U825,2),"")</f>
        <v>39</v>
      </c>
      <c r="Q825" t="s">
        <v>40</v>
      </c>
      <c r="R825" t="s">
        <v>39</v>
      </c>
      <c r="S825">
        <v>868145</v>
      </c>
      <c r="T825">
        <v>868145</v>
      </c>
      <c r="X825" t="s">
        <v>41</v>
      </c>
      <c r="Z825" s="1">
        <v>7.66</v>
      </c>
      <c r="AA825" s="1">
        <f>IF(AND(ISNUMBER(Z825),ISNUMBER(I825),I825&gt;0,ISNUMBER(J825)),ROUND(Z825*J825/I825,2),"")</f>
        <v>8.27</v>
      </c>
      <c r="AB825" t="s">
        <v>42</v>
      </c>
      <c r="AC825" t="s">
        <v>43</v>
      </c>
      <c r="AD825" t="s">
        <v>44</v>
      </c>
      <c r="AE825" t="s">
        <v>45</v>
      </c>
    </row>
    <row r="826">
      <c r="A826">
        <v>806109</v>
      </c>
      <c r="B826">
        <v>806109</v>
      </c>
      <c r="C826" t="s">
        <v>1217</v>
      </c>
      <c r="D826" t="s">
        <v>1203</v>
      </c>
      <c r="E826" t="s">
        <v>96</v>
      </c>
      <c r="F826" s="1">
        <v>10.5</v>
      </c>
      <c r="G826" s="2">
        <v>0.4</v>
      </c>
      <c r="H826" s="2">
        <v>0.512</v>
      </c>
      <c r="I826" s="1">
        <v>14.7</v>
      </c>
      <c r="J826" s="1">
        <f>IF(AND(ISNUMBER(F826),ISNUMBER(H826)),ROUND(F826*(1+H826),2),"")</f>
        <v>15.88</v>
      </c>
      <c r="K826" s="2">
        <f>IF(AND(ISNUMBER(I826),I826&gt;0,ISNUMBER(J826)),J826/I826-1,"")</f>
        <v>0.08027210884353742</v>
      </c>
      <c r="L826" t="s">
        <v>38</v>
      </c>
      <c r="N826" s="1" t="s">
        <f>IF(AND(ISNUMBER(U826),U826&gt;0,ISNUMBER(J826)),ROUND(J826/U826,2),"")</f>
        <v>39</v>
      </c>
      <c r="Q826" t="s">
        <v>40</v>
      </c>
      <c r="R826" t="s">
        <v>39</v>
      </c>
      <c r="S826">
        <v>527174</v>
      </c>
      <c r="T826">
        <v>527174</v>
      </c>
      <c r="X826" t="s">
        <v>41</v>
      </c>
      <c r="Z826" s="1">
        <v>14.7</v>
      </c>
      <c r="AA826" s="1">
        <f>IF(AND(ISNUMBER(Z826),ISNUMBER(I826),I826&gt;0,ISNUMBER(J826)),ROUND(Z826*J826/I826,2),"")</f>
        <v>15.88</v>
      </c>
      <c r="AB826" t="s">
        <v>42</v>
      </c>
      <c r="AC826" t="s">
        <v>43</v>
      </c>
      <c r="AD826" t="s">
        <v>44</v>
      </c>
      <c r="AE826" t="s">
        <v>45</v>
      </c>
    </row>
    <row r="827">
      <c r="A827">
        <v>806113</v>
      </c>
      <c r="B827">
        <v>806113</v>
      </c>
      <c r="C827" t="s">
        <v>1218</v>
      </c>
      <c r="D827" t="s">
        <v>1203</v>
      </c>
      <c r="E827" t="s">
        <v>1212</v>
      </c>
      <c r="F827" s="1">
        <v>6.02</v>
      </c>
      <c r="G827" s="2">
        <v>0.4</v>
      </c>
      <c r="H827" s="2">
        <v>0.512</v>
      </c>
      <c r="I827" s="1">
        <v>8.43</v>
      </c>
      <c r="J827" s="1">
        <f>IF(AND(ISNUMBER(F827),ISNUMBER(H827)),ROUND(F827*(1+H827),2),"")</f>
        <v>9.1</v>
      </c>
      <c r="K827" s="2">
        <f>IF(AND(ISNUMBER(I827),I827&gt;0,ISNUMBER(J827)),J827/I827-1,"")</f>
        <v>0.07947805456702262</v>
      </c>
      <c r="L827" t="s">
        <v>38</v>
      </c>
      <c r="N827" s="1" t="s">
        <f>IF(AND(ISNUMBER(U827),U827&gt;0,ISNUMBER(J827)),ROUND(J827/U827,2),"")</f>
        <v>39</v>
      </c>
      <c r="Q827" t="s">
        <v>40</v>
      </c>
      <c r="R827" t="s">
        <v>39</v>
      </c>
      <c r="S827">
        <v>527178</v>
      </c>
      <c r="T827">
        <v>527178</v>
      </c>
      <c r="X827" t="s">
        <v>41</v>
      </c>
      <c r="Z827" s="1">
        <v>8.43</v>
      </c>
      <c r="AA827" s="1">
        <f>IF(AND(ISNUMBER(Z827),ISNUMBER(I827),I827&gt;0,ISNUMBER(J827)),ROUND(Z827*J827/I827,2),"")</f>
        <v>9.1</v>
      </c>
      <c r="AB827" t="s">
        <v>42</v>
      </c>
      <c r="AC827" t="s">
        <v>43</v>
      </c>
      <c r="AD827" t="s">
        <v>44</v>
      </c>
      <c r="AE827" t="s">
        <v>45</v>
      </c>
    </row>
    <row r="828">
      <c r="A828">
        <v>806119</v>
      </c>
      <c r="B828">
        <v>806119</v>
      </c>
      <c r="C828" t="s">
        <v>1219</v>
      </c>
      <c r="D828" t="s">
        <v>1203</v>
      </c>
      <c r="E828" t="s">
        <v>76</v>
      </c>
      <c r="F828" s="1">
        <v>5.64</v>
      </c>
      <c r="G828" s="2">
        <v>0.4</v>
      </c>
      <c r="H828" s="2">
        <v>0.512</v>
      </c>
      <c r="I828" s="1">
        <v>7.9</v>
      </c>
      <c r="J828" s="1">
        <f>IF(AND(ISNUMBER(F828),ISNUMBER(H828)),ROUND(F828*(1+H828),2),"")</f>
        <v>8.53</v>
      </c>
      <c r="K828" s="2">
        <f>IF(AND(ISNUMBER(I828),I828&gt;0,ISNUMBER(J828)),J828/I828-1,"")</f>
        <v>0.07974683544303796</v>
      </c>
      <c r="L828" t="s">
        <v>38</v>
      </c>
      <c r="N828" s="1" t="s">
        <f>IF(AND(ISNUMBER(U828),U828&gt;0,ISNUMBER(J828)),ROUND(J828/U828,2),"")</f>
        <v>39</v>
      </c>
      <c r="Q828" t="s">
        <v>40</v>
      </c>
      <c r="R828" t="s">
        <v>39</v>
      </c>
      <c r="S828">
        <v>527184</v>
      </c>
      <c r="T828">
        <v>527184</v>
      </c>
      <c r="X828" t="s">
        <v>41</v>
      </c>
      <c r="Z828" s="1">
        <v>7.9</v>
      </c>
      <c r="AA828" s="1">
        <f>IF(AND(ISNUMBER(Z828),ISNUMBER(I828),I828&gt;0,ISNUMBER(J828)),ROUND(Z828*J828/I828,2),"")</f>
        <v>8.53</v>
      </c>
      <c r="AB828" t="s">
        <v>42</v>
      </c>
      <c r="AC828" t="s">
        <v>43</v>
      </c>
      <c r="AD828" t="s">
        <v>48</v>
      </c>
      <c r="AE828" t="s">
        <v>45</v>
      </c>
    </row>
    <row r="829">
      <c r="A829">
        <v>806123</v>
      </c>
      <c r="B829">
        <v>806123</v>
      </c>
      <c r="C829" t="s">
        <v>1220</v>
      </c>
      <c r="D829" t="s">
        <v>1203</v>
      </c>
      <c r="E829" t="s">
        <v>1212</v>
      </c>
      <c r="F829" s="1">
        <v>7.22</v>
      </c>
      <c r="G829" s="2">
        <v>0.4</v>
      </c>
      <c r="H829" s="2">
        <v>0.512</v>
      </c>
      <c r="I829" s="1">
        <v>10.11</v>
      </c>
      <c r="J829" s="1">
        <f>IF(AND(ISNUMBER(F829),ISNUMBER(H829)),ROUND(F829*(1+H829),2),"")</f>
        <v>10.92</v>
      </c>
      <c r="K829" s="2">
        <f>IF(AND(ISNUMBER(I829),I829&gt;0,ISNUMBER(J829)),J829/I829-1,"")</f>
        <v>0.0801186943620178</v>
      </c>
      <c r="L829" t="s">
        <v>38</v>
      </c>
      <c r="M829" s="1">
        <v>5.05</v>
      </c>
      <c r="N829" s="1">
        <f>IF(AND(ISNUMBER(U829),U829&gt;0,ISNUMBER(J829)),ROUND(J829/U829,2),"")</f>
        <v>5.46</v>
      </c>
      <c r="Q829" t="s">
        <v>40</v>
      </c>
      <c r="R829" t="s">
        <v>39</v>
      </c>
      <c r="S829">
        <v>527188</v>
      </c>
      <c r="T829">
        <v>527188</v>
      </c>
      <c r="U829" s="3">
        <v>2</v>
      </c>
      <c r="X829" t="s">
        <v>41</v>
      </c>
      <c r="Z829" s="1">
        <v>10.11</v>
      </c>
      <c r="AA829" s="1">
        <f>IF(AND(ISNUMBER(Z829),ISNUMBER(I829),I829&gt;0,ISNUMBER(J829)),ROUND(Z829*J829/I829,2),"")</f>
        <v>10.92</v>
      </c>
      <c r="AB829" t="s">
        <v>42</v>
      </c>
      <c r="AC829" t="s">
        <v>43</v>
      </c>
      <c r="AD829" t="s">
        <v>44</v>
      </c>
      <c r="AE829" t="s">
        <v>45</v>
      </c>
    </row>
    <row r="830">
      <c r="A830">
        <v>806126</v>
      </c>
      <c r="B830">
        <v>806126</v>
      </c>
      <c r="C830" t="s">
        <v>1221</v>
      </c>
      <c r="D830" t="s">
        <v>1203</v>
      </c>
      <c r="E830" t="s">
        <v>76</v>
      </c>
      <c r="F830" s="1">
        <v>5.59</v>
      </c>
      <c r="G830" s="2">
        <v>0.4</v>
      </c>
      <c r="H830" s="2">
        <v>0.512</v>
      </c>
      <c r="I830" s="1">
        <v>7.83</v>
      </c>
      <c r="J830" s="1">
        <f>IF(AND(ISNUMBER(F830),ISNUMBER(H830)),ROUND(F830*(1+H830),2),"")</f>
        <v>8.45</v>
      </c>
      <c r="K830" s="2">
        <f>IF(AND(ISNUMBER(I830),I830&gt;0,ISNUMBER(J830)),J830/I830-1,"")</f>
        <v>0.07918263090676869</v>
      </c>
      <c r="L830" t="s">
        <v>38</v>
      </c>
      <c r="M830" s="1">
        <v>7.83</v>
      </c>
      <c r="N830" s="1">
        <f>IF(AND(ISNUMBER(U830),U830&gt;0,ISNUMBER(J830)),ROUND(J830/U830,2),"")</f>
        <v>8.45</v>
      </c>
      <c r="Q830" t="s">
        <v>40</v>
      </c>
      <c r="R830" t="s">
        <v>39</v>
      </c>
      <c r="S830">
        <v>527191</v>
      </c>
      <c r="T830">
        <v>527191</v>
      </c>
      <c r="U830" s="3">
        <v>1</v>
      </c>
      <c r="X830" t="s">
        <v>41</v>
      </c>
      <c r="Z830" s="1">
        <v>7.83</v>
      </c>
      <c r="AA830" s="1">
        <f>IF(AND(ISNUMBER(Z830),ISNUMBER(I830),I830&gt;0,ISNUMBER(J830)),ROUND(Z830*J830/I830,2),"")</f>
        <v>8.45</v>
      </c>
      <c r="AB830" t="s">
        <v>42</v>
      </c>
      <c r="AC830" t="s">
        <v>43</v>
      </c>
      <c r="AD830" t="s">
        <v>44</v>
      </c>
      <c r="AE830" t="s">
        <v>45</v>
      </c>
    </row>
    <row r="831">
      <c r="A831">
        <v>806130</v>
      </c>
      <c r="B831">
        <v>806130</v>
      </c>
      <c r="C831" t="s">
        <v>1222</v>
      </c>
      <c r="D831" t="s">
        <v>1203</v>
      </c>
      <c r="E831" t="s">
        <v>76</v>
      </c>
      <c r="F831" s="1">
        <v>6.31</v>
      </c>
      <c r="G831" s="2">
        <v>0.4</v>
      </c>
      <c r="H831" s="2">
        <v>0.512</v>
      </c>
      <c r="I831" s="1">
        <v>8.83</v>
      </c>
      <c r="J831" s="1">
        <f>IF(AND(ISNUMBER(F831),ISNUMBER(H831)),ROUND(F831*(1+H831),2),"")</f>
        <v>9.54</v>
      </c>
      <c r="K831" s="2">
        <f>IF(AND(ISNUMBER(I831),I831&gt;0,ISNUMBER(J831)),J831/I831-1,"")</f>
        <v>0.08040770101925254</v>
      </c>
      <c r="L831" t="s">
        <v>38</v>
      </c>
      <c r="M831" s="1">
        <v>8.83</v>
      </c>
      <c r="N831" s="1">
        <f>IF(AND(ISNUMBER(U831),U831&gt;0,ISNUMBER(J831)),ROUND(J831/U831,2),"")</f>
        <v>9.54</v>
      </c>
      <c r="Q831" t="s">
        <v>40</v>
      </c>
      <c r="R831" t="s">
        <v>39</v>
      </c>
      <c r="S831">
        <v>527195</v>
      </c>
      <c r="T831">
        <v>527195</v>
      </c>
      <c r="U831" s="3">
        <v>1</v>
      </c>
      <c r="X831" t="s">
        <v>41</v>
      </c>
      <c r="Z831" s="1">
        <v>8.83</v>
      </c>
      <c r="AA831" s="1">
        <f>IF(AND(ISNUMBER(Z831),ISNUMBER(I831),I831&gt;0,ISNUMBER(J831)),ROUND(Z831*J831/I831,2),"")</f>
        <v>9.54</v>
      </c>
      <c r="AB831" t="s">
        <v>42</v>
      </c>
      <c r="AC831" t="s">
        <v>43</v>
      </c>
      <c r="AD831" t="s">
        <v>44</v>
      </c>
      <c r="AE831" t="s">
        <v>45</v>
      </c>
    </row>
    <row r="832">
      <c r="A832">
        <v>806134</v>
      </c>
      <c r="B832">
        <v>806134</v>
      </c>
      <c r="C832" t="s">
        <v>1223</v>
      </c>
      <c r="D832" t="s">
        <v>1203</v>
      </c>
      <c r="E832" t="s">
        <v>1204</v>
      </c>
      <c r="F832" s="1">
        <v>4.48</v>
      </c>
      <c r="G832" s="2">
        <v>0.4</v>
      </c>
      <c r="H832" s="2">
        <v>0.512</v>
      </c>
      <c r="I832" s="1">
        <v>6.27</v>
      </c>
      <c r="J832" s="1">
        <f>IF(AND(ISNUMBER(F832),ISNUMBER(H832)),ROUND(F832*(1+H832),2),"")</f>
        <v>6.77</v>
      </c>
      <c r="K832" s="2">
        <f>IF(AND(ISNUMBER(I832),I832&gt;0,ISNUMBER(J832)),J832/I832-1,"")</f>
        <v>0.0797448165869219</v>
      </c>
      <c r="L832" t="s">
        <v>38</v>
      </c>
      <c r="M832" s="1">
        <v>10.03</v>
      </c>
      <c r="N832" s="1">
        <f>IF(AND(ISNUMBER(U832),U832&gt;0,ISNUMBER(J832)),ROUND(J832/U832,2),"")</f>
        <v>10.83</v>
      </c>
      <c r="Q832" t="s">
        <v>40</v>
      </c>
      <c r="R832" t="s">
        <v>39</v>
      </c>
      <c r="S832">
        <v>527199</v>
      </c>
      <c r="T832">
        <v>527199</v>
      </c>
      <c r="U832" s="3">
        <v>0.625</v>
      </c>
      <c r="X832" t="s">
        <v>41</v>
      </c>
      <c r="Z832" s="1">
        <v>6.27</v>
      </c>
      <c r="AA832" s="1">
        <f>IF(AND(ISNUMBER(Z832),ISNUMBER(I832),I832&gt;0,ISNUMBER(J832)),ROUND(Z832*J832/I832,2),"")</f>
        <v>6.77</v>
      </c>
      <c r="AB832" t="s">
        <v>42</v>
      </c>
      <c r="AC832" t="s">
        <v>43</v>
      </c>
      <c r="AD832" t="s">
        <v>48</v>
      </c>
      <c r="AE832" t="s">
        <v>45</v>
      </c>
    </row>
    <row r="833">
      <c r="A833">
        <v>806136</v>
      </c>
      <c r="B833">
        <v>806136</v>
      </c>
      <c r="C833" t="s">
        <v>1224</v>
      </c>
      <c r="D833" t="s">
        <v>1203</v>
      </c>
      <c r="E833" t="s">
        <v>76</v>
      </c>
      <c r="F833" s="1">
        <v>5.27</v>
      </c>
      <c r="G833" s="2">
        <v>0.4</v>
      </c>
      <c r="H833" s="2">
        <v>0.512</v>
      </c>
      <c r="I833" s="1">
        <v>7.38</v>
      </c>
      <c r="J833" s="1">
        <f>IF(AND(ISNUMBER(F833),ISNUMBER(H833)),ROUND(F833*(1+H833),2),"")</f>
        <v>7.97</v>
      </c>
      <c r="K833" s="2">
        <f>IF(AND(ISNUMBER(I833),I833&gt;0,ISNUMBER(J833)),J833/I833-1,"")</f>
        <v>0.07994579945799463</v>
      </c>
      <c r="L833" t="s">
        <v>38</v>
      </c>
      <c r="N833" s="1" t="s">
        <f>IF(AND(ISNUMBER(U833),U833&gt;0,ISNUMBER(J833)),ROUND(J833/U833,2),"")</f>
        <v>39</v>
      </c>
      <c r="Q833" t="s">
        <v>40</v>
      </c>
      <c r="R833" t="s">
        <v>39</v>
      </c>
      <c r="S833">
        <v>527201</v>
      </c>
      <c r="T833">
        <v>527201</v>
      </c>
      <c r="X833" t="s">
        <v>41</v>
      </c>
      <c r="Z833" s="1">
        <v>7.38</v>
      </c>
      <c r="AA833" s="1">
        <f>IF(AND(ISNUMBER(Z833),ISNUMBER(I833),I833&gt;0,ISNUMBER(J833)),ROUND(Z833*J833/I833,2),"")</f>
        <v>7.97</v>
      </c>
      <c r="AB833" t="s">
        <v>42</v>
      </c>
      <c r="AC833" t="s">
        <v>43</v>
      </c>
      <c r="AD833" t="s">
        <v>48</v>
      </c>
      <c r="AE833" t="s">
        <v>45</v>
      </c>
    </row>
    <row r="834">
      <c r="A834">
        <v>806138</v>
      </c>
      <c r="B834">
        <v>806138</v>
      </c>
      <c r="C834" t="s">
        <v>1225</v>
      </c>
      <c r="D834" t="s">
        <v>1203</v>
      </c>
      <c r="E834" t="s">
        <v>76</v>
      </c>
      <c r="F834" s="1">
        <v>3.7</v>
      </c>
      <c r="G834" s="2">
        <v>0.4</v>
      </c>
      <c r="H834" s="2">
        <v>0.512</v>
      </c>
      <c r="I834" s="1">
        <v>5.18</v>
      </c>
      <c r="J834" s="1">
        <f>IF(AND(ISNUMBER(F834),ISNUMBER(H834)),ROUND(F834*(1+H834),2),"")</f>
        <v>5.59</v>
      </c>
      <c r="K834" s="2">
        <f>IF(AND(ISNUMBER(I834),I834&gt;0,ISNUMBER(J834)),J834/I834-1,"")</f>
        <v>0.0791505791505791</v>
      </c>
      <c r="L834" t="s">
        <v>38</v>
      </c>
      <c r="M834" s="1">
        <v>5.18</v>
      </c>
      <c r="N834" s="1">
        <f>IF(AND(ISNUMBER(U834),U834&gt;0,ISNUMBER(J834)),ROUND(J834/U834,2),"")</f>
        <v>5.59</v>
      </c>
      <c r="Q834" t="s">
        <v>40</v>
      </c>
      <c r="R834" t="s">
        <v>39</v>
      </c>
      <c r="S834">
        <v>527203</v>
      </c>
      <c r="T834">
        <v>527203</v>
      </c>
      <c r="U834" s="3">
        <v>1</v>
      </c>
      <c r="X834" t="s">
        <v>41</v>
      </c>
      <c r="Z834" s="1">
        <v>5.18</v>
      </c>
      <c r="AA834" s="1">
        <f>IF(AND(ISNUMBER(Z834),ISNUMBER(I834),I834&gt;0,ISNUMBER(J834)),ROUND(Z834*J834/I834,2),"")</f>
        <v>5.59</v>
      </c>
      <c r="AB834" t="s">
        <v>42</v>
      </c>
      <c r="AC834" t="s">
        <v>43</v>
      </c>
      <c r="AD834" t="s">
        <v>44</v>
      </c>
      <c r="AE834" t="s">
        <v>45</v>
      </c>
    </row>
    <row r="835">
      <c r="A835">
        <v>806140</v>
      </c>
      <c r="B835">
        <v>806140</v>
      </c>
      <c r="C835" t="s">
        <v>1226</v>
      </c>
      <c r="D835" t="s">
        <v>1203</v>
      </c>
      <c r="E835" t="s">
        <v>76</v>
      </c>
      <c r="F835" s="1">
        <v>5.15</v>
      </c>
      <c r="G835" s="2">
        <v>0.4</v>
      </c>
      <c r="H835" s="2">
        <v>0.512</v>
      </c>
      <c r="I835" s="1">
        <v>7.21</v>
      </c>
      <c r="J835" s="1">
        <f>IF(AND(ISNUMBER(F835),ISNUMBER(H835)),ROUND(F835*(1+H835),2),"")</f>
        <v>7.79</v>
      </c>
      <c r="K835" s="2">
        <f>IF(AND(ISNUMBER(I835),I835&gt;0,ISNUMBER(J835)),J835/I835-1,"")</f>
        <v>0.08044382801664351</v>
      </c>
      <c r="L835" t="s">
        <v>38</v>
      </c>
      <c r="M835" s="1">
        <v>7.21</v>
      </c>
      <c r="N835" s="1">
        <f>IF(AND(ISNUMBER(U835),U835&gt;0,ISNUMBER(J835)),ROUND(J835/U835,2),"")</f>
        <v>7.79</v>
      </c>
      <c r="Q835" t="s">
        <v>40</v>
      </c>
      <c r="R835" t="s">
        <v>39</v>
      </c>
      <c r="S835">
        <v>527205</v>
      </c>
      <c r="T835">
        <v>527205</v>
      </c>
      <c r="U835" s="3">
        <v>1</v>
      </c>
      <c r="X835" t="s">
        <v>41</v>
      </c>
      <c r="Z835" s="1">
        <v>7.21</v>
      </c>
      <c r="AA835" s="1">
        <f>IF(AND(ISNUMBER(Z835),ISNUMBER(I835),I835&gt;0,ISNUMBER(J835)),ROUND(Z835*J835/I835,2),"")</f>
        <v>7.79</v>
      </c>
      <c r="AB835" t="s">
        <v>42</v>
      </c>
      <c r="AC835" t="s">
        <v>43</v>
      </c>
      <c r="AD835" t="s">
        <v>48</v>
      </c>
      <c r="AE835" t="s">
        <v>45</v>
      </c>
    </row>
    <row r="836">
      <c r="A836">
        <v>806142</v>
      </c>
      <c r="B836">
        <v>806142</v>
      </c>
      <c r="C836" t="s">
        <v>1227</v>
      </c>
      <c r="D836" t="s">
        <v>1203</v>
      </c>
      <c r="E836" t="s">
        <v>1204</v>
      </c>
      <c r="F836" s="1">
        <v>5.25</v>
      </c>
      <c r="G836" s="2">
        <v>0.4</v>
      </c>
      <c r="H836" s="2">
        <v>0.512</v>
      </c>
      <c r="I836" s="1">
        <v>7.35</v>
      </c>
      <c r="J836" s="1">
        <f>IF(AND(ISNUMBER(F836),ISNUMBER(H836)),ROUND(F836*(1+H836),2),"")</f>
        <v>7.94</v>
      </c>
      <c r="K836" s="2">
        <f>IF(AND(ISNUMBER(I836),I836&gt;0,ISNUMBER(J836)),J836/I836-1,"")</f>
        <v>0.08027210884353742</v>
      </c>
      <c r="L836" t="s">
        <v>38</v>
      </c>
      <c r="M836" s="1">
        <v>11.76</v>
      </c>
      <c r="N836" s="1">
        <f>IF(AND(ISNUMBER(U836),U836&gt;0,ISNUMBER(J836)),ROUND(J836/U836,2),"")</f>
        <v>12.7</v>
      </c>
      <c r="Q836" t="s">
        <v>40</v>
      </c>
      <c r="R836" t="s">
        <v>39</v>
      </c>
      <c r="S836">
        <v>527207</v>
      </c>
      <c r="T836">
        <v>527207</v>
      </c>
      <c r="U836" s="3">
        <v>0.625</v>
      </c>
      <c r="X836" t="s">
        <v>41</v>
      </c>
      <c r="Z836" s="1">
        <v>7.35</v>
      </c>
      <c r="AA836" s="1">
        <f>IF(AND(ISNUMBER(Z836),ISNUMBER(I836),I836&gt;0,ISNUMBER(J836)),ROUND(Z836*J836/I836,2),"")</f>
        <v>7.94</v>
      </c>
      <c r="AB836" t="s">
        <v>42</v>
      </c>
      <c r="AC836" t="s">
        <v>43</v>
      </c>
      <c r="AD836" t="s">
        <v>48</v>
      </c>
      <c r="AE836" t="s">
        <v>45</v>
      </c>
    </row>
    <row r="837">
      <c r="A837">
        <v>806144</v>
      </c>
      <c r="B837">
        <v>806144</v>
      </c>
      <c r="C837" t="s">
        <v>1228</v>
      </c>
      <c r="D837" t="s">
        <v>1203</v>
      </c>
      <c r="E837" t="s">
        <v>76</v>
      </c>
      <c r="F837" s="1">
        <v>5.6</v>
      </c>
      <c r="G837" s="2">
        <v>0.4</v>
      </c>
      <c r="H837" s="2">
        <v>0.512</v>
      </c>
      <c r="I837" s="1">
        <v>7.84</v>
      </c>
      <c r="J837" s="1">
        <f>IF(AND(ISNUMBER(F837),ISNUMBER(H837)),ROUND(F837*(1+H837),2),"")</f>
        <v>8.47</v>
      </c>
      <c r="K837" s="2">
        <f>IF(AND(ISNUMBER(I837),I837&gt;0,ISNUMBER(J837)),J837/I837-1,"")</f>
        <v>0.08035714285714302</v>
      </c>
      <c r="L837" t="s">
        <v>38</v>
      </c>
      <c r="M837" s="1">
        <v>7.84</v>
      </c>
      <c r="N837" s="1">
        <f>IF(AND(ISNUMBER(U837),U837&gt;0,ISNUMBER(J837)),ROUND(J837/U837,2),"")</f>
        <v>8.47</v>
      </c>
      <c r="Q837" t="s">
        <v>40</v>
      </c>
      <c r="R837" t="s">
        <v>39</v>
      </c>
      <c r="S837">
        <v>527209</v>
      </c>
      <c r="T837">
        <v>527209</v>
      </c>
      <c r="U837" s="3">
        <v>1</v>
      </c>
      <c r="X837" t="s">
        <v>41</v>
      </c>
      <c r="Z837" s="1">
        <v>7.84</v>
      </c>
      <c r="AA837" s="1">
        <f>IF(AND(ISNUMBER(Z837),ISNUMBER(I837),I837&gt;0,ISNUMBER(J837)),ROUND(Z837*J837/I837,2),"")</f>
        <v>8.47</v>
      </c>
      <c r="AB837" t="s">
        <v>42</v>
      </c>
      <c r="AC837" t="s">
        <v>43</v>
      </c>
      <c r="AD837" t="s">
        <v>48</v>
      </c>
      <c r="AE837" t="s">
        <v>45</v>
      </c>
    </row>
    <row r="838">
      <c r="A838">
        <v>806146</v>
      </c>
      <c r="B838">
        <v>806146</v>
      </c>
      <c r="C838" t="s">
        <v>1229</v>
      </c>
      <c r="D838" t="s">
        <v>1203</v>
      </c>
      <c r="E838" t="s">
        <v>76</v>
      </c>
      <c r="F838" s="1">
        <v>5.48</v>
      </c>
      <c r="G838" s="2">
        <v>0.4</v>
      </c>
      <c r="H838" s="2">
        <v>0.512</v>
      </c>
      <c r="I838" s="1">
        <v>7.67</v>
      </c>
      <c r="J838" s="1">
        <f>IF(AND(ISNUMBER(F838),ISNUMBER(H838)),ROUND(F838*(1+H838),2),"")</f>
        <v>8.29</v>
      </c>
      <c r="K838" s="2">
        <f>IF(AND(ISNUMBER(I838),I838&gt;0,ISNUMBER(J838)),J838/I838-1,"")</f>
        <v>0.08083441981747064</v>
      </c>
      <c r="L838" t="s">
        <v>38</v>
      </c>
      <c r="M838" s="1">
        <v>7.67</v>
      </c>
      <c r="N838" s="1">
        <f>IF(AND(ISNUMBER(U838),U838&gt;0,ISNUMBER(J838)),ROUND(J838/U838,2),"")</f>
        <v>8.29</v>
      </c>
      <c r="Q838" t="s">
        <v>40</v>
      </c>
      <c r="R838" t="s">
        <v>39</v>
      </c>
      <c r="S838">
        <v>527211</v>
      </c>
      <c r="T838">
        <v>527211</v>
      </c>
      <c r="U838" s="3">
        <v>1</v>
      </c>
      <c r="X838" t="s">
        <v>41</v>
      </c>
      <c r="Z838" s="1">
        <v>7.67</v>
      </c>
      <c r="AA838" s="1">
        <f>IF(AND(ISNUMBER(Z838),ISNUMBER(I838),I838&gt;0,ISNUMBER(J838)),ROUND(Z838*J838/I838,2),"")</f>
        <v>8.29</v>
      </c>
      <c r="AB838" t="s">
        <v>42</v>
      </c>
      <c r="AC838" t="s">
        <v>43</v>
      </c>
      <c r="AD838" t="s">
        <v>44</v>
      </c>
      <c r="AE838" t="s">
        <v>45</v>
      </c>
    </row>
    <row r="839">
      <c r="A839">
        <v>1111541</v>
      </c>
      <c r="B839">
        <v>1111541</v>
      </c>
      <c r="C839" t="s">
        <v>1230</v>
      </c>
      <c r="D839" t="s">
        <v>1231</v>
      </c>
      <c r="E839" t="s">
        <v>98</v>
      </c>
      <c r="F839" s="1">
        <v>1.85</v>
      </c>
      <c r="G839" s="2">
        <v>0.4</v>
      </c>
      <c r="H839" s="2">
        <v>0.512</v>
      </c>
      <c r="I839" s="1">
        <v>2.59</v>
      </c>
      <c r="J839" s="1">
        <f>IF(AND(ISNUMBER(F839),ISNUMBER(H839)),ROUND(F839*(1+H839),2),"")</f>
        <v>2.8</v>
      </c>
      <c r="K839" s="2">
        <f>IF(AND(ISNUMBER(I839),I839&gt;0,ISNUMBER(J839)),J839/I839-1,"")</f>
        <v>0.08108108108108114</v>
      </c>
      <c r="L839" t="s">
        <v>38</v>
      </c>
      <c r="N839" s="1" t="s">
        <f>IF(AND(ISNUMBER(U839),U839&gt;0,ISNUMBER(J839)),ROUND(J839/U839,2),"")</f>
        <v>39</v>
      </c>
      <c r="Q839" t="s">
        <v>40</v>
      </c>
      <c r="R839" t="s">
        <v>39</v>
      </c>
      <c r="S839">
        <v>931419</v>
      </c>
      <c r="T839">
        <v>931419</v>
      </c>
      <c r="X839" t="s">
        <v>41</v>
      </c>
      <c r="Z839" s="1">
        <v>2.59</v>
      </c>
      <c r="AA839" s="1">
        <f>IF(AND(ISNUMBER(Z839),ISNUMBER(I839),I839&gt;0,ISNUMBER(J839)),ROUND(Z839*J839/I839,2),"")</f>
        <v>2.8</v>
      </c>
      <c r="AB839" t="s">
        <v>42</v>
      </c>
      <c r="AC839" t="s">
        <v>43</v>
      </c>
      <c r="AD839" t="s">
        <v>44</v>
      </c>
      <c r="AE839" t="s">
        <v>45</v>
      </c>
    </row>
    <row r="840">
      <c r="A840">
        <v>1106676</v>
      </c>
      <c r="B840">
        <v>1106676</v>
      </c>
      <c r="C840" t="s">
        <v>1012</v>
      </c>
      <c r="D840" t="s">
        <v>1231</v>
      </c>
      <c r="E840" t="s">
        <v>100</v>
      </c>
      <c r="F840" s="1">
        <v>2</v>
      </c>
      <c r="G840" s="2">
        <v>0.4</v>
      </c>
      <c r="H840" s="2">
        <v>0.512</v>
      </c>
      <c r="I840" s="1">
        <v>2.8</v>
      </c>
      <c r="J840" s="1">
        <f>IF(AND(ISNUMBER(F840),ISNUMBER(H840)),ROUND(F840*(1+H840),2),"")</f>
        <v>3.02</v>
      </c>
      <c r="K840" s="2">
        <f>IF(AND(ISNUMBER(I840),I840&gt;0,ISNUMBER(J840)),J840/I840-1,"")</f>
        <v>0.07857142857142874</v>
      </c>
      <c r="L840" t="s">
        <v>38</v>
      </c>
      <c r="M840" s="1">
        <v>2.8</v>
      </c>
      <c r="N840" s="1">
        <f>IF(AND(ISNUMBER(U840),U840&gt;0,ISNUMBER(J840)),ROUND(J840/U840,2),"")</f>
        <v>3.02</v>
      </c>
      <c r="Q840" t="s">
        <v>40</v>
      </c>
      <c r="R840" t="s">
        <v>39</v>
      </c>
      <c r="S840">
        <v>924713</v>
      </c>
      <c r="T840">
        <v>924713</v>
      </c>
      <c r="U840" s="3">
        <v>1</v>
      </c>
      <c r="X840" t="s">
        <v>41</v>
      </c>
      <c r="Z840" s="1">
        <v>2.8</v>
      </c>
      <c r="AA840" s="1">
        <f>IF(AND(ISNUMBER(Z840),ISNUMBER(I840),I840&gt;0,ISNUMBER(J840)),ROUND(Z840*J840/I840,2),"")</f>
        <v>3.02</v>
      </c>
      <c r="AB840" t="s">
        <v>42</v>
      </c>
      <c r="AC840" t="s">
        <v>43</v>
      </c>
      <c r="AD840" t="s">
        <v>44</v>
      </c>
      <c r="AE840" t="s">
        <v>45</v>
      </c>
    </row>
    <row r="841">
      <c r="A841">
        <v>1130087</v>
      </c>
      <c r="B841">
        <v>1130087</v>
      </c>
      <c r="C841" t="s">
        <v>132</v>
      </c>
      <c r="D841" t="s">
        <v>1231</v>
      </c>
      <c r="E841" t="s">
        <v>133</v>
      </c>
      <c r="F841" s="1">
        <v>2.3</v>
      </c>
      <c r="G841" s="2">
        <v>0.4</v>
      </c>
      <c r="H841" s="2">
        <v>0.512</v>
      </c>
      <c r="I841" s="1">
        <v>3.22</v>
      </c>
      <c r="J841" s="1">
        <f>IF(AND(ISNUMBER(F841),ISNUMBER(H841)),ROUND(F841*(1+H841),2),"")</f>
        <v>3.48</v>
      </c>
      <c r="K841" s="2">
        <f>IF(AND(ISNUMBER(I841),I841&gt;0,ISNUMBER(J841)),J841/I841-1,"")</f>
        <v>0.08074534161490665</v>
      </c>
      <c r="L841" t="s">
        <v>38</v>
      </c>
      <c r="N841" s="1" t="s">
        <f>IF(AND(ISNUMBER(U841),U841&gt;0,ISNUMBER(J841)),ROUND(J841/U841,2),"")</f>
        <v>39</v>
      </c>
      <c r="Q841" t="s">
        <v>40</v>
      </c>
      <c r="R841" t="s">
        <v>39</v>
      </c>
      <c r="S841">
        <v>963998</v>
      </c>
      <c r="T841">
        <v>963998</v>
      </c>
      <c r="X841" t="s">
        <v>41</v>
      </c>
      <c r="Z841" s="1">
        <v>3.22</v>
      </c>
      <c r="AA841" s="1">
        <f>IF(AND(ISNUMBER(Z841),ISNUMBER(I841),I841&gt;0,ISNUMBER(J841)),ROUND(Z841*J841/I841,2),"")</f>
        <v>3.48</v>
      </c>
      <c r="AB841" t="s">
        <v>42</v>
      </c>
      <c r="AC841" t="s">
        <v>43</v>
      </c>
      <c r="AD841" t="s">
        <v>48</v>
      </c>
      <c r="AE841" t="s">
        <v>45</v>
      </c>
    </row>
    <row r="842">
      <c r="A842">
        <v>806007</v>
      </c>
      <c r="B842">
        <v>806007</v>
      </c>
      <c r="C842" t="s">
        <v>1232</v>
      </c>
      <c r="D842" t="s">
        <v>1231</v>
      </c>
      <c r="E842" t="s">
        <v>96</v>
      </c>
      <c r="F842" s="1">
        <v>1.75</v>
      </c>
      <c r="G842" s="2">
        <v>0.4</v>
      </c>
      <c r="H842" s="2">
        <v>0.512</v>
      </c>
      <c r="I842" s="1">
        <v>2.45</v>
      </c>
      <c r="J842" s="1">
        <f>IF(AND(ISNUMBER(F842),ISNUMBER(H842)),ROUND(F842*(1+H842),2),"")</f>
        <v>2.65</v>
      </c>
      <c r="K842" s="2">
        <f>IF(AND(ISNUMBER(I842),I842&gt;0,ISNUMBER(J842)),J842/I842-1,"")</f>
        <v>0.08163265306122436</v>
      </c>
      <c r="L842" t="s">
        <v>38</v>
      </c>
      <c r="N842" s="1" t="s">
        <f>IF(AND(ISNUMBER(U842),U842&gt;0,ISNUMBER(J842)),ROUND(J842/U842,2),"")</f>
        <v>39</v>
      </c>
      <c r="Q842" t="s">
        <v>40</v>
      </c>
      <c r="R842" t="s">
        <v>39</v>
      </c>
      <c r="S842">
        <v>527067</v>
      </c>
      <c r="T842">
        <v>527067</v>
      </c>
      <c r="X842" t="s">
        <v>41</v>
      </c>
      <c r="Z842" s="1">
        <v>2.45</v>
      </c>
      <c r="AA842" s="1">
        <f>IF(AND(ISNUMBER(Z842),ISNUMBER(I842),I842&gt;0,ISNUMBER(J842)),ROUND(Z842*J842/I842,2),"")</f>
        <v>2.65</v>
      </c>
      <c r="AB842" t="s">
        <v>42</v>
      </c>
      <c r="AC842" t="s">
        <v>43</v>
      </c>
      <c r="AD842" t="s">
        <v>48</v>
      </c>
      <c r="AE842" t="s">
        <v>45</v>
      </c>
    </row>
    <row r="843">
      <c r="A843">
        <v>921713</v>
      </c>
      <c r="B843">
        <v>921713</v>
      </c>
      <c r="C843" t="s">
        <v>1233</v>
      </c>
      <c r="D843" t="s">
        <v>1231</v>
      </c>
      <c r="E843" t="s">
        <v>1234</v>
      </c>
      <c r="F843" s="1">
        <v>3.2</v>
      </c>
      <c r="G843" s="2">
        <v>0.4</v>
      </c>
      <c r="H843" s="2">
        <v>0.512</v>
      </c>
      <c r="I843" s="1">
        <v>4.48</v>
      </c>
      <c r="J843" s="1">
        <f>IF(AND(ISNUMBER(F843),ISNUMBER(H843)),ROUND(F843*(1+H843),2),"")</f>
        <v>4.84</v>
      </c>
      <c r="K843" s="2">
        <f>IF(AND(ISNUMBER(I843),I843&gt;0,ISNUMBER(J843)),J843/I843-1,"")</f>
        <v>0.0803571428571428</v>
      </c>
      <c r="L843" t="s">
        <v>38</v>
      </c>
      <c r="M843" s="1">
        <v>4.48</v>
      </c>
      <c r="N843" s="1">
        <f>IF(AND(ISNUMBER(U843),U843&gt;0,ISNUMBER(J843)),ROUND(J843/U843,2),"")</f>
        <v>4.84</v>
      </c>
      <c r="Q843" t="s">
        <v>40</v>
      </c>
      <c r="R843" t="s">
        <v>39</v>
      </c>
      <c r="S843">
        <v>668239</v>
      </c>
      <c r="T843">
        <v>668239</v>
      </c>
      <c r="U843" s="3">
        <v>1</v>
      </c>
      <c r="X843" t="s">
        <v>41</v>
      </c>
      <c r="Z843" s="1">
        <v>4.48</v>
      </c>
      <c r="AA843" s="1">
        <f>IF(AND(ISNUMBER(Z843),ISNUMBER(I843),I843&gt;0,ISNUMBER(J843)),ROUND(Z843*J843/I843,2),"")</f>
        <v>4.84</v>
      </c>
      <c r="AB843" t="s">
        <v>42</v>
      </c>
      <c r="AC843" t="s">
        <v>43</v>
      </c>
      <c r="AD843" t="s">
        <v>44</v>
      </c>
      <c r="AE843" t="s">
        <v>45</v>
      </c>
    </row>
    <row r="844">
      <c r="A844">
        <v>1132419</v>
      </c>
      <c r="B844">
        <v>1132419</v>
      </c>
      <c r="C844" t="s">
        <v>1235</v>
      </c>
      <c r="D844" t="s">
        <v>1231</v>
      </c>
      <c r="E844" t="s">
        <v>100</v>
      </c>
      <c r="F844" s="1">
        <v>1.3</v>
      </c>
      <c r="G844" s="2">
        <v>0.4</v>
      </c>
      <c r="H844" s="2">
        <v>0.512</v>
      </c>
      <c r="I844" s="1">
        <v>1.82</v>
      </c>
      <c r="J844" s="1">
        <f>IF(AND(ISNUMBER(F844),ISNUMBER(H844)),ROUND(F844*(1+H844),2),"")</f>
        <v>1.97</v>
      </c>
      <c r="K844" s="2">
        <f>IF(AND(ISNUMBER(I844),I844&gt;0,ISNUMBER(J844)),J844/I844-1,"")</f>
        <v>0.08241758241758235</v>
      </c>
      <c r="L844" t="s">
        <v>38</v>
      </c>
      <c r="M844" s="1">
        <v>1.82</v>
      </c>
      <c r="N844" s="1">
        <f>IF(AND(ISNUMBER(U844),U844&gt;0,ISNUMBER(J844)),ROUND(J844/U844,2),"")</f>
        <v>1.97</v>
      </c>
      <c r="Q844" t="s">
        <v>40</v>
      </c>
      <c r="R844" t="s">
        <v>39</v>
      </c>
      <c r="S844">
        <v>967065</v>
      </c>
      <c r="T844">
        <v>967065</v>
      </c>
      <c r="U844" s="3">
        <v>1</v>
      </c>
      <c r="X844" t="s">
        <v>41</v>
      </c>
      <c r="Z844" s="1">
        <v>1.82</v>
      </c>
      <c r="AA844" s="1">
        <f>IF(AND(ISNUMBER(Z844),ISNUMBER(I844),I844&gt;0,ISNUMBER(J844)),ROUND(Z844*J844/I844,2),"")</f>
        <v>1.97</v>
      </c>
      <c r="AB844" t="s">
        <v>42</v>
      </c>
      <c r="AC844" t="s">
        <v>43</v>
      </c>
      <c r="AD844" t="s">
        <v>44</v>
      </c>
      <c r="AE844" t="s">
        <v>45</v>
      </c>
    </row>
    <row r="845">
      <c r="A845">
        <v>960551</v>
      </c>
      <c r="B845">
        <v>960551</v>
      </c>
      <c r="C845" t="s">
        <v>1108</v>
      </c>
      <c r="D845" t="s">
        <v>1231</v>
      </c>
      <c r="E845" t="s">
        <v>96</v>
      </c>
      <c r="F845" s="1">
        <v>1.65</v>
      </c>
      <c r="G845" s="2">
        <v>0.4</v>
      </c>
      <c r="H845" s="2">
        <v>0.512</v>
      </c>
      <c r="I845" s="1">
        <v>2.31</v>
      </c>
      <c r="J845" s="1">
        <f>IF(AND(ISNUMBER(F845),ISNUMBER(H845)),ROUND(F845*(1+H845),2),"")</f>
        <v>2.49</v>
      </c>
      <c r="K845" s="2">
        <f>IF(AND(ISNUMBER(I845),I845&gt;0,ISNUMBER(J845)),J845/I845-1,"")</f>
        <v>0.07792207792207795</v>
      </c>
      <c r="L845" t="s">
        <v>38</v>
      </c>
      <c r="N845" s="1" t="s">
        <f>IF(AND(ISNUMBER(U845),U845&gt;0,ISNUMBER(J845)),ROUND(J845/U845,2),"")</f>
        <v>39</v>
      </c>
      <c r="Q845" t="s">
        <v>40</v>
      </c>
      <c r="R845" t="s">
        <v>39</v>
      </c>
      <c r="S845">
        <v>720783</v>
      </c>
      <c r="T845">
        <v>720783</v>
      </c>
      <c r="X845" t="s">
        <v>41</v>
      </c>
      <c r="Z845" s="1">
        <v>2.31</v>
      </c>
      <c r="AA845" s="1">
        <f>IF(AND(ISNUMBER(Z845),ISNUMBER(I845),I845&gt;0,ISNUMBER(J845)),ROUND(Z845*J845/I845,2),"")</f>
        <v>2.49</v>
      </c>
      <c r="AB845" t="s">
        <v>42</v>
      </c>
      <c r="AC845" t="s">
        <v>43</v>
      </c>
      <c r="AD845" t="s">
        <v>44</v>
      </c>
      <c r="AE845" t="s">
        <v>45</v>
      </c>
    </row>
    <row r="846">
      <c r="A846">
        <v>928531</v>
      </c>
      <c r="B846">
        <v>928531</v>
      </c>
      <c r="C846" t="s">
        <v>1236</v>
      </c>
      <c r="D846" t="s">
        <v>1231</v>
      </c>
      <c r="E846" t="s">
        <v>92</v>
      </c>
      <c r="F846" s="1">
        <v>3.2</v>
      </c>
      <c r="G846" s="2">
        <v>0.4</v>
      </c>
      <c r="H846" s="2">
        <v>0.512</v>
      </c>
      <c r="I846" s="1">
        <v>4.48</v>
      </c>
      <c r="J846" s="1">
        <f>IF(AND(ISNUMBER(F846),ISNUMBER(H846)),ROUND(F846*(1+H846),2),"")</f>
        <v>4.84</v>
      </c>
      <c r="K846" s="2">
        <f>IF(AND(ISNUMBER(I846),I846&gt;0,ISNUMBER(J846)),J846/I846-1,"")</f>
        <v>0.0803571428571428</v>
      </c>
      <c r="L846" t="s">
        <v>38</v>
      </c>
      <c r="M846" s="1">
        <v>4.48</v>
      </c>
      <c r="N846" s="1">
        <f>IF(AND(ISNUMBER(U846),U846&gt;0,ISNUMBER(J846)),ROUND(J846/U846,2),"")</f>
        <v>4.84</v>
      </c>
      <c r="Q846" t="s">
        <v>40</v>
      </c>
      <c r="R846" t="s">
        <v>39</v>
      </c>
      <c r="S846">
        <v>676675</v>
      </c>
      <c r="T846">
        <v>676675</v>
      </c>
      <c r="U846" s="3">
        <v>1</v>
      </c>
      <c r="X846" t="s">
        <v>41</v>
      </c>
      <c r="Z846" s="1">
        <v>4.48</v>
      </c>
      <c r="AA846" s="1">
        <f>IF(AND(ISNUMBER(Z846),ISNUMBER(I846),I846&gt;0,ISNUMBER(J846)),ROUND(Z846*J846/I846,2),"")</f>
        <v>4.84</v>
      </c>
      <c r="AB846" t="s">
        <v>42</v>
      </c>
      <c r="AC846" t="s">
        <v>43</v>
      </c>
      <c r="AD846" t="s">
        <v>44</v>
      </c>
      <c r="AE846" t="s">
        <v>45</v>
      </c>
    </row>
    <row r="847">
      <c r="A847">
        <v>805822</v>
      </c>
      <c r="B847">
        <v>805822</v>
      </c>
      <c r="C847" t="s">
        <v>1237</v>
      </c>
      <c r="D847" t="s">
        <v>1231</v>
      </c>
      <c r="E847" t="s">
        <v>133</v>
      </c>
      <c r="F847" s="1">
        <v>3</v>
      </c>
      <c r="G847" s="2">
        <v>0.4</v>
      </c>
      <c r="H847" s="2">
        <v>0.512</v>
      </c>
      <c r="I847" s="1">
        <v>4.2</v>
      </c>
      <c r="J847" s="1">
        <f>IF(AND(ISNUMBER(F847),ISNUMBER(H847)),ROUND(F847*(1+H847),2),"")</f>
        <v>4.54</v>
      </c>
      <c r="K847" s="2">
        <f>IF(AND(ISNUMBER(I847),I847&gt;0,ISNUMBER(J847)),J847/I847-1,"")</f>
        <v>0.08095238095238089</v>
      </c>
      <c r="L847" t="s">
        <v>38</v>
      </c>
      <c r="N847" s="1" t="s">
        <f>IF(AND(ISNUMBER(U847),U847&gt;0,ISNUMBER(J847)),ROUND(J847/U847,2),"")</f>
        <v>39</v>
      </c>
      <c r="Q847" t="s">
        <v>40</v>
      </c>
      <c r="R847" t="s">
        <v>39</v>
      </c>
      <c r="S847">
        <v>526879</v>
      </c>
      <c r="T847">
        <v>526879</v>
      </c>
      <c r="X847" t="s">
        <v>41</v>
      </c>
      <c r="Z847" s="1">
        <v>4.2</v>
      </c>
      <c r="AA847" s="1">
        <f>IF(AND(ISNUMBER(Z847),ISNUMBER(I847),I847&gt;0,ISNUMBER(J847)),ROUND(Z847*J847/I847,2),"")</f>
        <v>4.54</v>
      </c>
      <c r="AB847" t="s">
        <v>42</v>
      </c>
      <c r="AC847" t="s">
        <v>43</v>
      </c>
      <c r="AD847" t="s">
        <v>48</v>
      </c>
      <c r="AE847" t="s">
        <v>45</v>
      </c>
    </row>
    <row r="848">
      <c r="A848">
        <v>805845</v>
      </c>
      <c r="B848">
        <v>805845</v>
      </c>
      <c r="C848" t="s">
        <v>1238</v>
      </c>
      <c r="D848" t="s">
        <v>1231</v>
      </c>
      <c r="E848" t="s">
        <v>100</v>
      </c>
      <c r="F848" s="1">
        <v>2.15</v>
      </c>
      <c r="G848" s="2">
        <v>0.4</v>
      </c>
      <c r="H848" s="2">
        <v>0.512</v>
      </c>
      <c r="I848" s="1">
        <v>3.01</v>
      </c>
      <c r="J848" s="1">
        <f>IF(AND(ISNUMBER(F848),ISNUMBER(H848)),ROUND(F848*(1+H848),2),"")</f>
        <v>3.25</v>
      </c>
      <c r="K848" s="2">
        <f>IF(AND(ISNUMBER(I848),I848&gt;0,ISNUMBER(J848)),J848/I848-1,"")</f>
        <v>0.07973421926910307</v>
      </c>
      <c r="L848" t="s">
        <v>38</v>
      </c>
      <c r="M848" s="1">
        <v>3.01</v>
      </c>
      <c r="N848" s="1">
        <f>IF(AND(ISNUMBER(U848),U848&gt;0,ISNUMBER(J848)),ROUND(J848/U848,2),"")</f>
        <v>3.25</v>
      </c>
      <c r="Q848" t="s">
        <v>40</v>
      </c>
      <c r="R848" t="s">
        <v>39</v>
      </c>
      <c r="S848">
        <v>526903</v>
      </c>
      <c r="T848">
        <v>526903</v>
      </c>
      <c r="U848" s="3">
        <v>1</v>
      </c>
      <c r="X848" t="s">
        <v>41</v>
      </c>
      <c r="Z848" s="1">
        <v>3.01</v>
      </c>
      <c r="AA848" s="1">
        <f>IF(AND(ISNUMBER(Z848),ISNUMBER(I848),I848&gt;0,ISNUMBER(J848)),ROUND(Z848*J848/I848,2),"")</f>
        <v>3.25</v>
      </c>
      <c r="AB848" t="s">
        <v>42</v>
      </c>
      <c r="AC848" t="s">
        <v>43</v>
      </c>
      <c r="AD848" t="s">
        <v>48</v>
      </c>
      <c r="AE848" t="s">
        <v>45</v>
      </c>
    </row>
  </sheetData>
  <autoFilter ref="A5:AE848"/>
  <ignoredErrors>
    <ignoredError numberStoredAsText="1" sqref="A1:AE848"/>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Edit markup in 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One sheet. Formulas include cached values. Current Local Line adjustments are sale-inclusive. Preserve sales and explicit ID mappings. No store writes.</dc:description>
  <dc:subject>Edit proposed markup percentages to recalculate package prices.</dc:subject>
  <dc:title>FFCSA markup review</dc:title>
</cp:coreProperties>
</file>